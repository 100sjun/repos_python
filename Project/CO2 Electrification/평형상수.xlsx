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sjbaek\repos_python\Project\CO2 Electrification\"/>
    </mc:Choice>
  </mc:AlternateContent>
  <xr:revisionPtr revIDLastSave="0" documentId="13_ncr:1_{16869206-AEBE-4D8A-A686-DE828AE45AA1}" xr6:coauthVersionLast="36" xr6:coauthVersionMax="36" xr10:uidLastSave="{00000000-0000-0000-0000-000000000000}"/>
  <bookViews>
    <workbookView xWindow="0" yWindow="0" windowWidth="57570" windowHeight="11895" activeTab="2" xr2:uid="{BA7A7B88-A97C-4BE4-B0F5-63C93CE1ABE1}"/>
  </bookViews>
  <sheets>
    <sheet name="Sheet4" sheetId="4" r:id="rId1"/>
    <sheet name="Sheet2" sheetId="6" r:id="rId2"/>
    <sheet name="Sheet1" sheetId="1" r:id="rId3"/>
    <sheet name="RWGS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8" i="1" l="1"/>
  <c r="P9" i="1"/>
  <c r="P10" i="1"/>
  <c r="P11" i="1"/>
  <c r="P12" i="1"/>
  <c r="P13" i="1"/>
  <c r="P14" i="1"/>
  <c r="Q14" i="1" s="1"/>
  <c r="P15" i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P33" i="1"/>
  <c r="P34" i="1"/>
  <c r="P35" i="1"/>
  <c r="P36" i="1"/>
  <c r="P37" i="1"/>
  <c r="P38" i="1"/>
  <c r="P39" i="1"/>
  <c r="P40" i="1"/>
  <c r="P41" i="1"/>
  <c r="P42" i="1"/>
  <c r="P43" i="1"/>
  <c r="Q43" i="1" s="1"/>
  <c r="P44" i="1"/>
  <c r="Q44" i="1" s="1"/>
  <c r="P45" i="1"/>
  <c r="Q45" i="1" s="1"/>
  <c r="P46" i="1"/>
  <c r="Q46" i="1" s="1"/>
  <c r="P47" i="1"/>
  <c r="Q47" i="1" s="1"/>
  <c r="P48" i="1"/>
  <c r="Q48" i="1" s="1"/>
  <c r="P49" i="1"/>
  <c r="Q49" i="1" s="1"/>
  <c r="P50" i="1"/>
  <c r="Q50" i="1" s="1"/>
  <c r="P51" i="1"/>
  <c r="Q51" i="1" s="1"/>
  <c r="P52" i="1"/>
  <c r="Q52" i="1" s="1"/>
  <c r="P53" i="1"/>
  <c r="Q53" i="1" s="1"/>
  <c r="P54" i="1"/>
  <c r="Q54" i="1" s="1"/>
  <c r="P55" i="1"/>
  <c r="Q55" i="1" s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Q71" i="1" s="1"/>
  <c r="P72" i="1"/>
  <c r="Q72" i="1" s="1"/>
  <c r="P73" i="1"/>
  <c r="Q73" i="1" s="1"/>
  <c r="P74" i="1"/>
  <c r="Q74" i="1" s="1"/>
  <c r="P75" i="1"/>
  <c r="Q75" i="1" s="1"/>
  <c r="P76" i="1"/>
  <c r="Q76" i="1" s="1"/>
  <c r="P77" i="1"/>
  <c r="Q77" i="1" s="1"/>
  <c r="P7" i="1"/>
  <c r="Q7" i="1" s="1"/>
  <c r="Q8" i="1"/>
  <c r="Q9" i="1"/>
  <c r="Q32" i="1"/>
  <c r="Q33" i="1"/>
  <c r="Q38" i="1"/>
  <c r="Q40" i="1"/>
  <c r="Q41" i="1"/>
  <c r="Q42" i="1"/>
  <c r="Q56" i="1"/>
  <c r="Q57" i="1"/>
  <c r="Q62" i="1"/>
  <c r="Q63" i="1"/>
  <c r="Q64" i="1"/>
  <c r="Q65" i="1"/>
  <c r="Q66" i="1"/>
  <c r="Q67" i="1"/>
  <c r="Q68" i="1"/>
  <c r="Q69" i="1"/>
  <c r="Q70" i="1"/>
  <c r="Q10" i="1"/>
  <c r="Q11" i="1"/>
  <c r="Q12" i="1"/>
  <c r="Q13" i="1"/>
  <c r="Q15" i="1"/>
  <c r="Q34" i="1"/>
  <c r="Q35" i="1"/>
  <c r="Q36" i="1"/>
  <c r="Q37" i="1"/>
  <c r="Q39" i="1"/>
  <c r="Q58" i="1"/>
  <c r="Q59" i="1"/>
  <c r="Q60" i="1"/>
  <c r="Q61" i="1"/>
  <c r="J38" i="1" l="1"/>
  <c r="J39" i="1"/>
  <c r="J40" i="1"/>
  <c r="J41" i="1"/>
  <c r="J42" i="1"/>
  <c r="J43" i="1"/>
  <c r="J44" i="1"/>
  <c r="J37" i="1"/>
  <c r="H37" i="1" l="1"/>
  <c r="H44" i="1"/>
  <c r="G44" i="1"/>
  <c r="F44" i="1"/>
  <c r="E44" i="1"/>
  <c r="H43" i="1"/>
  <c r="G43" i="1"/>
  <c r="F43" i="1"/>
  <c r="E43" i="1"/>
  <c r="H42" i="1"/>
  <c r="E42" i="1"/>
  <c r="F42" i="1" s="1"/>
  <c r="H41" i="1"/>
  <c r="E41" i="1"/>
  <c r="G41" i="1" s="1"/>
  <c r="H40" i="1"/>
  <c r="E40" i="1"/>
  <c r="G40" i="1" s="1"/>
  <c r="H39" i="1"/>
  <c r="E39" i="1"/>
  <c r="G39" i="1" s="1"/>
  <c r="H38" i="1"/>
  <c r="G38" i="1"/>
  <c r="F38" i="1"/>
  <c r="E38" i="1"/>
  <c r="G37" i="1"/>
  <c r="F37" i="1"/>
  <c r="E37" i="1"/>
  <c r="G42" i="1" l="1"/>
  <c r="F40" i="1"/>
  <c r="F41" i="1"/>
  <c r="F39" i="1"/>
  <c r="K8" i="1"/>
  <c r="K9" i="1"/>
  <c r="K10" i="1"/>
  <c r="K11" i="1"/>
  <c r="K12" i="1"/>
  <c r="K13" i="1"/>
  <c r="K14" i="1"/>
  <c r="K7" i="1"/>
  <c r="J28" i="1"/>
  <c r="J29" i="1"/>
  <c r="J30" i="1"/>
  <c r="J31" i="1"/>
  <c r="J32" i="1"/>
  <c r="J33" i="1"/>
  <c r="J34" i="1"/>
  <c r="J27" i="1"/>
  <c r="H34" i="1"/>
  <c r="E34" i="1"/>
  <c r="G34" i="1" s="1"/>
  <c r="H33" i="1"/>
  <c r="E33" i="1"/>
  <c r="F33" i="1" s="1"/>
  <c r="H32" i="1"/>
  <c r="E32" i="1"/>
  <c r="G32" i="1" s="1"/>
  <c r="H31" i="1"/>
  <c r="E31" i="1"/>
  <c r="F31" i="1" s="1"/>
  <c r="H30" i="1"/>
  <c r="E30" i="1"/>
  <c r="G30" i="1" s="1"/>
  <c r="H29" i="1"/>
  <c r="E29" i="1"/>
  <c r="F29" i="1" s="1"/>
  <c r="H28" i="1"/>
  <c r="E28" i="1"/>
  <c r="G28" i="1" s="1"/>
  <c r="H27" i="1"/>
  <c r="E27" i="1"/>
  <c r="F27" i="1" s="1"/>
  <c r="J18" i="1"/>
  <c r="J19" i="1"/>
  <c r="J20" i="1"/>
  <c r="J21" i="1"/>
  <c r="J22" i="1"/>
  <c r="J23" i="1"/>
  <c r="J24" i="1"/>
  <c r="J17" i="1"/>
  <c r="H24" i="1"/>
  <c r="E24" i="1"/>
  <c r="G24" i="1" s="1"/>
  <c r="H23" i="1"/>
  <c r="E23" i="1"/>
  <c r="G23" i="1" s="1"/>
  <c r="H22" i="1"/>
  <c r="E22" i="1"/>
  <c r="G22" i="1" s="1"/>
  <c r="H21" i="1"/>
  <c r="E21" i="1"/>
  <c r="F21" i="1" s="1"/>
  <c r="H20" i="1"/>
  <c r="F20" i="1"/>
  <c r="E20" i="1"/>
  <c r="G20" i="1" s="1"/>
  <c r="H19" i="1"/>
  <c r="E19" i="1"/>
  <c r="F19" i="1" s="1"/>
  <c r="H18" i="1"/>
  <c r="G18" i="1"/>
  <c r="F18" i="1"/>
  <c r="E18" i="1"/>
  <c r="H17" i="1"/>
  <c r="E17" i="1"/>
  <c r="F17" i="1" s="1"/>
  <c r="J8" i="1"/>
  <c r="J9" i="1"/>
  <c r="J10" i="1"/>
  <c r="J11" i="1"/>
  <c r="J12" i="1"/>
  <c r="J13" i="1"/>
  <c r="J14" i="1"/>
  <c r="J7" i="1"/>
  <c r="G27" i="1" l="1"/>
  <c r="G31" i="1"/>
  <c r="F32" i="1"/>
  <c r="G33" i="1"/>
  <c r="F28" i="1"/>
  <c r="F34" i="1"/>
  <c r="G29" i="1"/>
  <c r="F30" i="1"/>
  <c r="G19" i="1"/>
  <c r="G21" i="1"/>
  <c r="F22" i="1"/>
  <c r="F23" i="1"/>
  <c r="G17" i="1"/>
  <c r="F24" i="1"/>
  <c r="H8" i="1" l="1"/>
  <c r="H9" i="1"/>
  <c r="H10" i="1"/>
  <c r="H11" i="1"/>
  <c r="H12" i="1"/>
  <c r="H13" i="1"/>
  <c r="H14" i="1"/>
  <c r="H7" i="1"/>
  <c r="G8" i="1"/>
  <c r="G9" i="1"/>
  <c r="G10" i="1"/>
  <c r="G11" i="1"/>
  <c r="G12" i="1"/>
  <c r="G13" i="1"/>
  <c r="G14" i="1"/>
  <c r="G7" i="1"/>
  <c r="F8" i="1"/>
  <c r="F9" i="1"/>
  <c r="F10" i="1"/>
  <c r="F11" i="1"/>
  <c r="F12" i="1"/>
  <c r="F13" i="1"/>
  <c r="F14" i="1"/>
  <c r="F7" i="1"/>
  <c r="E8" i="1"/>
  <c r="E9" i="1"/>
  <c r="E10" i="1"/>
  <c r="E11" i="1"/>
  <c r="E12" i="1"/>
  <c r="E13" i="1"/>
  <c r="E14" i="1"/>
  <c r="E7" i="1"/>
</calcChain>
</file>

<file path=xl/sharedStrings.xml><?xml version="1.0" encoding="utf-8"?>
<sst xmlns="http://schemas.openxmlformats.org/spreadsheetml/2006/main" count="106" uniqueCount="43">
  <si>
    <t>RWGS</t>
    <phoneticPr fontId="1" type="noConversion"/>
  </si>
  <si>
    <t>MTN</t>
    <phoneticPr fontId="1" type="noConversion"/>
  </si>
  <si>
    <t>DRM</t>
    <phoneticPr fontId="1" type="noConversion"/>
  </si>
  <si>
    <t>T [degC]</t>
    <phoneticPr fontId="1" type="noConversion"/>
  </si>
  <si>
    <t>T [K]</t>
    <phoneticPr fontId="1" type="noConversion"/>
  </si>
  <si>
    <t>1/T[K]</t>
    <phoneticPr fontId="1" type="noConversion"/>
  </si>
  <si>
    <t>lnT[K]</t>
    <phoneticPr fontId="1" type="noConversion"/>
  </si>
  <si>
    <t>KEQ</t>
    <phoneticPr fontId="1" type="noConversion"/>
  </si>
  <si>
    <t>RWGS</t>
    <phoneticPr fontId="1" type="noConversion"/>
  </si>
  <si>
    <t>LN(K)</t>
    <phoneticPr fontId="1" type="noConversion"/>
  </si>
  <si>
    <t>요약 출력</t>
  </si>
  <si>
    <t>회귀분석 통계량</t>
  </si>
  <si>
    <t>다중 상관계수</t>
  </si>
  <si>
    <t>결정계수</t>
  </si>
  <si>
    <t>조정된 결정계수</t>
  </si>
  <si>
    <t>표준 오차</t>
  </si>
  <si>
    <t>관측수</t>
  </si>
  <si>
    <t>분산 분석</t>
  </si>
  <si>
    <t>회귀</t>
  </si>
  <si>
    <t>잔차</t>
  </si>
  <si>
    <t>계</t>
  </si>
  <si>
    <t>Y 절편</t>
  </si>
  <si>
    <t>자유도</t>
  </si>
  <si>
    <t>제곱합</t>
  </si>
  <si>
    <t>제곱 평균</t>
  </si>
  <si>
    <t>F 비</t>
  </si>
  <si>
    <t>유의한 F</t>
  </si>
  <si>
    <t>계수</t>
  </si>
  <si>
    <t>t 통계량</t>
  </si>
  <si>
    <t>P-값</t>
  </si>
  <si>
    <t>하위 95%</t>
  </si>
  <si>
    <t>상위 95%</t>
  </si>
  <si>
    <t>하위 95.0%</t>
  </si>
  <si>
    <t>상위 95.0%</t>
  </si>
  <si>
    <t>X 1</t>
  </si>
  <si>
    <t>X 2</t>
  </si>
  <si>
    <t>X 3</t>
  </si>
  <si>
    <t>LN(K_cal)</t>
    <phoneticPr fontId="1" type="noConversion"/>
  </si>
  <si>
    <t>MTN</t>
    <phoneticPr fontId="1" type="noConversion"/>
  </si>
  <si>
    <t>eff</t>
    <phoneticPr fontId="1" type="noConversion"/>
  </si>
  <si>
    <t>T</t>
    <phoneticPr fontId="1" type="noConversion"/>
  </si>
  <si>
    <t>D</t>
    <phoneticPr fontId="1" type="noConversion"/>
  </si>
  <si>
    <t>OTN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</si>
</sst>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11" fontId="0" fillId="0" borderId="0" xfId="0" applyNumberFormat="1">
      <alignment vertical="center"/>
    </xf>
    <xf numFmtId="0" fontId="0" fillId="0" borderId="0" xfId="0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2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Continuous" vertical="center"/>
    </xf>
    <xf numFmtId="0" fontId="0" fillId="0" borderId="0" xfId="0" applyBorder="1">
      <alignment vertical="center"/>
    </xf>
    <xf numFmtId="0" fontId="0" fillId="0" borderId="0" xfId="0" applyNumberFormat="1">
      <alignment vertical="center"/>
    </xf>
    <xf numFmtId="0" fontId="2" fillId="0" borderId="0" xfId="0" applyFo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5AB16-1CBE-47E3-AF26-84C0F11EF6CC}">
  <dimension ref="A1:I20"/>
  <sheetViews>
    <sheetView workbookViewId="0">
      <selection activeCell="B17" sqref="B17:B20"/>
    </sheetView>
  </sheetViews>
  <sheetFormatPr defaultRowHeight="16.5" x14ac:dyDescent="0.3"/>
  <sheetData>
    <row r="1" spans="1:9" x14ac:dyDescent="0.3">
      <c r="A1" t="s">
        <v>10</v>
      </c>
    </row>
    <row r="2" spans="1:9" ht="17.25" thickBot="1" x14ac:dyDescent="0.35"/>
    <row r="3" spans="1:9" x14ac:dyDescent="0.3">
      <c r="A3" s="5" t="s">
        <v>11</v>
      </c>
      <c r="B3" s="5"/>
    </row>
    <row r="4" spans="1:9" x14ac:dyDescent="0.3">
      <c r="A4" s="2" t="s">
        <v>12</v>
      </c>
      <c r="B4" s="2">
        <v>0.99999999787422666</v>
      </c>
    </row>
    <row r="5" spans="1:9" x14ac:dyDescent="0.3">
      <c r="A5" s="2" t="s">
        <v>13</v>
      </c>
      <c r="B5" s="2">
        <v>0.99999999574845333</v>
      </c>
    </row>
    <row r="6" spans="1:9" x14ac:dyDescent="0.3">
      <c r="A6" s="2" t="s">
        <v>14</v>
      </c>
      <c r="B6" s="2">
        <v>0.99999999255979333</v>
      </c>
    </row>
    <row r="7" spans="1:9" x14ac:dyDescent="0.3">
      <c r="A7" s="2" t="s">
        <v>15</v>
      </c>
      <c r="B7" s="2">
        <v>8.9033804608270131E-4</v>
      </c>
    </row>
    <row r="8" spans="1:9" ht="17.25" thickBot="1" x14ac:dyDescent="0.35">
      <c r="A8" s="3" t="s">
        <v>16</v>
      </c>
      <c r="B8" s="3">
        <v>8</v>
      </c>
    </row>
    <row r="10" spans="1:9" ht="17.25" thickBot="1" x14ac:dyDescent="0.35">
      <c r="A10" t="s">
        <v>17</v>
      </c>
    </row>
    <row r="11" spans="1:9" x14ac:dyDescent="0.3">
      <c r="A11" s="4"/>
      <c r="B11" s="4" t="s">
        <v>22</v>
      </c>
      <c r="C11" s="4" t="s">
        <v>23</v>
      </c>
      <c r="D11" s="4" t="s">
        <v>24</v>
      </c>
      <c r="E11" s="4" t="s">
        <v>25</v>
      </c>
      <c r="F11" s="4" t="s">
        <v>26</v>
      </c>
    </row>
    <row r="12" spans="1:9" x14ac:dyDescent="0.3">
      <c r="A12" s="2" t="s">
        <v>18</v>
      </c>
      <c r="B12" s="2">
        <v>3</v>
      </c>
      <c r="C12" s="2">
        <v>745.80089772451049</v>
      </c>
      <c r="D12" s="2">
        <v>248.60029924150351</v>
      </c>
      <c r="E12" s="2">
        <v>313611357.83553201</v>
      </c>
      <c r="F12" s="2">
        <v>3.3891842172688374E-17</v>
      </c>
    </row>
    <row r="13" spans="1:9" x14ac:dyDescent="0.3">
      <c r="A13" s="2" t="s">
        <v>19</v>
      </c>
      <c r="B13" s="2">
        <v>4</v>
      </c>
      <c r="C13" s="2">
        <v>3.1708073452094497E-6</v>
      </c>
      <c r="D13" s="2">
        <v>7.9270183630236243E-7</v>
      </c>
      <c r="E13" s="2"/>
      <c r="F13" s="2"/>
    </row>
    <row r="14" spans="1:9" ht="17.25" thickBot="1" x14ac:dyDescent="0.35">
      <c r="A14" s="3" t="s">
        <v>20</v>
      </c>
      <c r="B14" s="3">
        <v>7</v>
      </c>
      <c r="C14" s="3">
        <v>745.8009008953178</v>
      </c>
      <c r="D14" s="3"/>
      <c r="E14" s="3"/>
      <c r="F14" s="3"/>
    </row>
    <row r="15" spans="1:9" ht="17.25" thickBot="1" x14ac:dyDescent="0.35"/>
    <row r="16" spans="1:9" x14ac:dyDescent="0.3">
      <c r="A16" s="4"/>
      <c r="B16" s="4" t="s">
        <v>27</v>
      </c>
      <c r="C16" s="4" t="s">
        <v>15</v>
      </c>
      <c r="D16" s="4" t="s">
        <v>28</v>
      </c>
      <c r="E16" s="4" t="s">
        <v>29</v>
      </c>
      <c r="F16" s="4" t="s">
        <v>30</v>
      </c>
      <c r="G16" s="4" t="s">
        <v>31</v>
      </c>
      <c r="H16" s="4" t="s">
        <v>32</v>
      </c>
      <c r="I16" s="4" t="s">
        <v>33</v>
      </c>
    </row>
    <row r="17" spans="1:9" x14ac:dyDescent="0.3">
      <c r="A17" s="2" t="s">
        <v>21</v>
      </c>
      <c r="B17" s="2">
        <v>-2.4300631206040038</v>
      </c>
      <c r="C17" s="2">
        <v>1.0169448647306314</v>
      </c>
      <c r="D17" s="2">
        <v>-2.3895721438621744</v>
      </c>
      <c r="E17" s="2">
        <v>7.5202715054058455E-2</v>
      </c>
      <c r="F17" s="2">
        <v>-5.2535547125413977</v>
      </c>
      <c r="G17" s="2">
        <v>0.39342847133338976</v>
      </c>
      <c r="H17" s="2">
        <v>-5.2535547125413977</v>
      </c>
      <c r="I17" s="2">
        <v>0.39342847133338976</v>
      </c>
    </row>
    <row r="18" spans="1:9" x14ac:dyDescent="0.3">
      <c r="A18" s="2" t="s">
        <v>34</v>
      </c>
      <c r="B18" s="2">
        <v>-2.6469619537680053E-3</v>
      </c>
      <c r="C18" s="2">
        <v>8.6494980096281981E-5</v>
      </c>
      <c r="D18" s="2">
        <v>-30.602492200374364</v>
      </c>
      <c r="E18" s="2">
        <v>6.7926432124859983E-6</v>
      </c>
      <c r="F18" s="2">
        <v>-2.887110517880508E-3</v>
      </c>
      <c r="G18" s="2">
        <v>-2.4068133896555026E-3</v>
      </c>
      <c r="H18" s="2">
        <v>-2.887110517880508E-3</v>
      </c>
      <c r="I18" s="2">
        <v>-2.4068133896555026E-3</v>
      </c>
    </row>
    <row r="19" spans="1:9" x14ac:dyDescent="0.3">
      <c r="A19" s="2" t="s">
        <v>35</v>
      </c>
      <c r="B19" s="2">
        <v>-28616.497378653145</v>
      </c>
      <c r="C19" s="2">
        <v>63.270536492125466</v>
      </c>
      <c r="D19" s="2">
        <v>-452.28788888513219</v>
      </c>
      <c r="E19" s="2">
        <v>1.4337626498108733E-10</v>
      </c>
      <c r="F19" s="2">
        <v>-28792.164549999943</v>
      </c>
      <c r="G19" s="2">
        <v>-28440.830207306346</v>
      </c>
      <c r="H19" s="2">
        <v>-28792.164549999943</v>
      </c>
      <c r="I19" s="2">
        <v>-28440.830207306346</v>
      </c>
    </row>
    <row r="20" spans="1:9" ht="17.25" thickBot="1" x14ac:dyDescent="0.35">
      <c r="A20" s="3" t="s">
        <v>36</v>
      </c>
      <c r="B20" s="3">
        <v>5.2959029268298039</v>
      </c>
      <c r="C20" s="3">
        <v>0.15061272424125602</v>
      </c>
      <c r="D20" s="3">
        <v>35.162387198751325</v>
      </c>
      <c r="E20" s="3">
        <v>3.9039094663932141E-6</v>
      </c>
      <c r="F20" s="3">
        <v>4.8777349658296636</v>
      </c>
      <c r="G20" s="3">
        <v>5.7140708878299442</v>
      </c>
      <c r="H20" s="3">
        <v>4.8777349658296636</v>
      </c>
      <c r="I20" s="3">
        <v>5.7140708878299442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968FF-7997-4A51-A7AD-F3E5E5AA2209}">
  <dimension ref="A1:I20"/>
  <sheetViews>
    <sheetView workbookViewId="0">
      <selection activeCell="B17" sqref="B17:B20"/>
    </sheetView>
  </sheetViews>
  <sheetFormatPr defaultRowHeight="16.5" x14ac:dyDescent="0.3"/>
  <sheetData>
    <row r="1" spans="1:9" x14ac:dyDescent="0.3">
      <c r="A1" t="s">
        <v>10</v>
      </c>
    </row>
    <row r="2" spans="1:9" ht="17.25" thickBot="1" x14ac:dyDescent="0.35"/>
    <row r="3" spans="1:9" x14ac:dyDescent="0.3">
      <c r="A3" s="5" t="s">
        <v>11</v>
      </c>
      <c r="B3" s="5"/>
    </row>
    <row r="4" spans="1:9" x14ac:dyDescent="0.3">
      <c r="A4" s="2" t="s">
        <v>12</v>
      </c>
      <c r="B4" s="2">
        <v>0.99999999794915817</v>
      </c>
    </row>
    <row r="5" spans="1:9" x14ac:dyDescent="0.3">
      <c r="A5" s="2" t="s">
        <v>13</v>
      </c>
      <c r="B5" s="2">
        <v>0.99999999589831634</v>
      </c>
    </row>
    <row r="6" spans="1:9" x14ac:dyDescent="0.3">
      <c r="A6" s="2" t="s">
        <v>14</v>
      </c>
      <c r="B6" s="2">
        <v>0.99999999282205354</v>
      </c>
    </row>
    <row r="7" spans="1:9" x14ac:dyDescent="0.3">
      <c r="A7" s="2" t="s">
        <v>15</v>
      </c>
      <c r="B7" s="2">
        <v>7.5104538837115879E-4</v>
      </c>
    </row>
    <row r="8" spans="1:9" ht="17.25" thickBot="1" x14ac:dyDescent="0.35">
      <c r="A8" s="3" t="s">
        <v>16</v>
      </c>
      <c r="B8" s="3">
        <v>8</v>
      </c>
    </row>
    <row r="10" spans="1:9" ht="17.25" thickBot="1" x14ac:dyDescent="0.35">
      <c r="A10" t="s">
        <v>17</v>
      </c>
    </row>
    <row r="11" spans="1:9" x14ac:dyDescent="0.3">
      <c r="A11" s="4"/>
      <c r="B11" s="4" t="s">
        <v>22</v>
      </c>
      <c r="C11" s="4" t="s">
        <v>23</v>
      </c>
      <c r="D11" s="4" t="s">
        <v>24</v>
      </c>
      <c r="E11" s="4" t="s">
        <v>25</v>
      </c>
      <c r="F11" s="4" t="s">
        <v>26</v>
      </c>
    </row>
    <row r="12" spans="1:9" x14ac:dyDescent="0.3">
      <c r="A12" s="2" t="s">
        <v>18</v>
      </c>
      <c r="B12" s="2">
        <v>3</v>
      </c>
      <c r="C12" s="2">
        <v>550.08549834943949</v>
      </c>
      <c r="D12" s="2">
        <v>183.3618327831465</v>
      </c>
      <c r="E12" s="2">
        <v>325069762.33048725</v>
      </c>
      <c r="F12" s="2">
        <v>3.1544641324590385E-17</v>
      </c>
    </row>
    <row r="13" spans="1:9" x14ac:dyDescent="0.3">
      <c r="A13" s="2" t="s">
        <v>19</v>
      </c>
      <c r="B13" s="2">
        <v>4</v>
      </c>
      <c r="C13" s="2">
        <v>2.2562767015743387E-6</v>
      </c>
      <c r="D13" s="2">
        <v>5.6406917539358468E-7</v>
      </c>
      <c r="E13" s="2"/>
      <c r="F13" s="2"/>
    </row>
    <row r="14" spans="1:9" ht="17.25" thickBot="1" x14ac:dyDescent="0.35">
      <c r="A14" s="3" t="s">
        <v>20</v>
      </c>
      <c r="B14" s="3">
        <v>7</v>
      </c>
      <c r="C14" s="3">
        <v>550.08550060571622</v>
      </c>
      <c r="D14" s="3"/>
      <c r="E14" s="3"/>
      <c r="F14" s="3"/>
    </row>
    <row r="15" spans="1:9" ht="17.25" thickBot="1" x14ac:dyDescent="0.35"/>
    <row r="16" spans="1:9" x14ac:dyDescent="0.3">
      <c r="A16" s="4"/>
      <c r="B16" s="4" t="s">
        <v>27</v>
      </c>
      <c r="C16" s="4" t="s">
        <v>15</v>
      </c>
      <c r="D16" s="4" t="s">
        <v>28</v>
      </c>
      <c r="E16" s="4" t="s">
        <v>29</v>
      </c>
      <c r="F16" s="4" t="s">
        <v>30</v>
      </c>
      <c r="G16" s="4" t="s">
        <v>31</v>
      </c>
      <c r="H16" s="4" t="s">
        <v>32</v>
      </c>
      <c r="I16" s="4" t="s">
        <v>33</v>
      </c>
    </row>
    <row r="17" spans="1:9" x14ac:dyDescent="0.3">
      <c r="A17" s="2" t="s">
        <v>21</v>
      </c>
      <c r="B17" s="2">
        <v>16.079873995955673</v>
      </c>
      <c r="C17" s="2">
        <v>0.85784467399108277</v>
      </c>
      <c r="D17" s="2">
        <v>18.744505250752216</v>
      </c>
      <c r="E17" s="2">
        <v>4.7693544845876612E-5</v>
      </c>
      <c r="F17" s="2">
        <v>13.698115349833135</v>
      </c>
      <c r="G17" s="2">
        <v>18.461632642078211</v>
      </c>
      <c r="H17" s="2">
        <v>13.698115349833135</v>
      </c>
      <c r="I17" s="2">
        <v>18.461632642078211</v>
      </c>
    </row>
    <row r="18" spans="1:9" x14ac:dyDescent="0.3">
      <c r="A18" s="2" t="s">
        <v>34</v>
      </c>
      <c r="B18" s="2">
        <v>2.6750154272986602E-3</v>
      </c>
      <c r="C18" s="2">
        <v>7.296291133955834E-5</v>
      </c>
      <c r="D18" s="2">
        <v>36.662673928258478</v>
      </c>
      <c r="E18" s="2">
        <v>3.3044849271791216E-6</v>
      </c>
      <c r="F18" s="2">
        <v>2.4724379092489627E-3</v>
      </c>
      <c r="G18" s="2">
        <v>2.8775929453483578E-3</v>
      </c>
      <c r="H18" s="2">
        <v>2.4724379092489627E-3</v>
      </c>
      <c r="I18" s="2">
        <v>2.8775929453483578E-3</v>
      </c>
    </row>
    <row r="19" spans="1:9" x14ac:dyDescent="0.3">
      <c r="A19" s="2" t="s">
        <v>35</v>
      </c>
      <c r="B19" s="2">
        <v>23204.095470231423</v>
      </c>
      <c r="C19" s="2">
        <v>53.371912905725708</v>
      </c>
      <c r="D19" s="2">
        <v>434.76229737574386</v>
      </c>
      <c r="E19" s="2">
        <v>1.6793005608280615E-10</v>
      </c>
      <c r="F19" s="2">
        <v>23055.911283889276</v>
      </c>
      <c r="G19" s="2">
        <v>23352.27965657357</v>
      </c>
      <c r="H19" s="2">
        <v>23055.911283889276</v>
      </c>
      <c r="I19" s="2">
        <v>23352.27965657357</v>
      </c>
    </row>
    <row r="20" spans="1:9" ht="17.25" thickBot="1" x14ac:dyDescent="0.35">
      <c r="A20" s="3" t="s">
        <v>36</v>
      </c>
      <c r="B20" s="3">
        <v>-6.5466001428798704</v>
      </c>
      <c r="C20" s="3">
        <v>0.12704948695509885</v>
      </c>
      <c r="D20" s="3">
        <v>-51.527954183660221</v>
      </c>
      <c r="E20" s="3">
        <v>8.4896538500821055E-7</v>
      </c>
      <c r="F20" s="3">
        <v>-6.8993460690542454</v>
      </c>
      <c r="G20" s="3">
        <v>-6.1938542167054953</v>
      </c>
      <c r="H20" s="3">
        <v>-6.8993460690542454</v>
      </c>
      <c r="I20" s="3">
        <v>-6.1938542167054953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513A7-FBAA-4516-B441-4DFFA8844219}">
  <dimension ref="A1:Q77"/>
  <sheetViews>
    <sheetView tabSelected="1" workbookViewId="0">
      <selection activeCell="Q7" sqref="Q7:Q77"/>
    </sheetView>
  </sheetViews>
  <sheetFormatPr defaultRowHeight="16.5" x14ac:dyDescent="0.3"/>
  <cols>
    <col min="3" max="3" width="11.625" bestFit="1" customWidth="1"/>
    <col min="16" max="16" width="13.125" bestFit="1" customWidth="1"/>
  </cols>
  <sheetData>
    <row r="1" spans="1:17" x14ac:dyDescent="0.3">
      <c r="B1">
        <v>300</v>
      </c>
      <c r="C1">
        <v>400</v>
      </c>
      <c r="D1">
        <v>500</v>
      </c>
      <c r="E1">
        <v>600</v>
      </c>
      <c r="F1">
        <v>700</v>
      </c>
      <c r="G1">
        <v>800</v>
      </c>
      <c r="H1">
        <v>900</v>
      </c>
      <c r="I1">
        <v>1000</v>
      </c>
    </row>
    <row r="2" spans="1:17" x14ac:dyDescent="0.3">
      <c r="A2" t="s">
        <v>0</v>
      </c>
      <c r="B2">
        <v>2.4217655000000001E-2</v>
      </c>
      <c r="C2">
        <v>8.0751882499999997E-2</v>
      </c>
      <c r="D2">
        <v>0.19269736400000001</v>
      </c>
      <c r="E2">
        <v>0.37004415299999999</v>
      </c>
      <c r="F2">
        <v>0.61259332200000005</v>
      </c>
      <c r="G2">
        <v>0.91260488200000001</v>
      </c>
      <c r="H2">
        <v>1.25835696</v>
      </c>
      <c r="I2">
        <v>1.6370337100000001</v>
      </c>
    </row>
    <row r="3" spans="1:17" x14ac:dyDescent="0.3">
      <c r="A3" t="s">
        <v>1</v>
      </c>
      <c r="B3">
        <v>361811.58899999998</v>
      </c>
      <c r="C3">
        <v>1345.7034100000001</v>
      </c>
      <c r="D3">
        <v>19.602038</v>
      </c>
      <c r="E3">
        <v>0.71293316500000004</v>
      </c>
      <c r="F3">
        <v>4.9437124800000003E-2</v>
      </c>
      <c r="G3">
        <v>5.5028648299999998E-3</v>
      </c>
      <c r="H3">
        <v>8.7620165900000003E-4</v>
      </c>
      <c r="I3">
        <v>1.8417717900000001E-4</v>
      </c>
    </row>
    <row r="4" spans="1:17" x14ac:dyDescent="0.3">
      <c r="A4" t="s">
        <v>2</v>
      </c>
      <c r="B4" s="1">
        <v>1.6209951E-9</v>
      </c>
      <c r="C4" s="1">
        <v>4.8456936899999998E-6</v>
      </c>
      <c r="D4">
        <v>1.8943068099999999E-3</v>
      </c>
      <c r="E4">
        <v>0.19206944200000001</v>
      </c>
      <c r="F4">
        <v>7.5908657699999997</v>
      </c>
      <c r="G4">
        <v>151.348015</v>
      </c>
      <c r="H4">
        <v>1807.1892800000001</v>
      </c>
      <c r="I4">
        <v>14550.5506</v>
      </c>
    </row>
    <row r="6" spans="1:17" x14ac:dyDescent="0.3">
      <c r="A6" t="s">
        <v>8</v>
      </c>
      <c r="B6" t="s">
        <v>3</v>
      </c>
      <c r="C6" t="s">
        <v>7</v>
      </c>
      <c r="E6" t="s">
        <v>4</v>
      </c>
      <c r="F6" t="s">
        <v>5</v>
      </c>
      <c r="G6" t="s">
        <v>6</v>
      </c>
      <c r="H6" t="s">
        <v>9</v>
      </c>
      <c r="J6" t="s">
        <v>37</v>
      </c>
    </row>
    <row r="7" spans="1:17" x14ac:dyDescent="0.3">
      <c r="B7">
        <v>300</v>
      </c>
      <c r="C7">
        <v>2.4217655000000001E-2</v>
      </c>
      <c r="E7">
        <f t="shared" ref="E7:E14" si="0">B7+273.15</f>
        <v>573.15</v>
      </c>
      <c r="F7">
        <f>1/E7</f>
        <v>1.7447439588240427E-3</v>
      </c>
      <c r="G7">
        <f>LN(E7)</f>
        <v>6.3511474625610189</v>
      </c>
      <c r="H7">
        <f>LN(C7)</f>
        <v>-3.7206733663538767</v>
      </c>
      <c r="J7">
        <f>$L$7+$L$8*E7+$L$9*F7+$L$10*G7</f>
        <v>-3.7207282576046214</v>
      </c>
      <c r="K7">
        <f>EXP(J7)</f>
        <v>2.421632569911077E-2</v>
      </c>
      <c r="L7" s="2">
        <v>13.649813313302525</v>
      </c>
      <c r="O7">
        <v>300</v>
      </c>
      <c r="P7">
        <f>EXP($L$37+(O7+273.15)*$L$38+$L$39/(O7+273.15)+$L$40*LN(O7+273.15))</f>
        <v>14944316.13575336</v>
      </c>
      <c r="Q7">
        <f>LN(P7)</f>
        <v>16.51984159392142</v>
      </c>
    </row>
    <row r="8" spans="1:17" x14ac:dyDescent="0.3">
      <c r="B8">
        <v>400</v>
      </c>
      <c r="C8">
        <v>8.0751882499999997E-2</v>
      </c>
      <c r="E8">
        <f t="shared" si="0"/>
        <v>673.15</v>
      </c>
      <c r="F8">
        <f t="shared" ref="F8:F14" si="1">1/E8</f>
        <v>1.4855529971031717E-3</v>
      </c>
      <c r="G8">
        <f t="shared" ref="G8:G14" si="2">LN(E8)</f>
        <v>6.5119681874252437</v>
      </c>
      <c r="H8">
        <f t="shared" ref="H8:H14" si="3">LN(C8)</f>
        <v>-2.5163740044576093</v>
      </c>
      <c r="J8">
        <f t="shared" ref="J8:J14" si="4">$L$7+$L$8*E8+$L$9*F8+$L$10*G8</f>
        <v>-2.5162152864310556</v>
      </c>
      <c r="K8">
        <f t="shared" ref="K8:K14" si="5">EXP(J8)</f>
        <v>8.0764700296611674E-2</v>
      </c>
      <c r="L8" s="2">
        <v>2.8053691354865067E-5</v>
      </c>
      <c r="O8">
        <v>310</v>
      </c>
      <c r="P8">
        <f t="shared" ref="P8:P71" si="6">EXP($L$37+(O8+273.15)*$L$38+$L$39/(O8+273.15)+$L$40*LN(O8+273.15))</f>
        <v>6845520.4492683681</v>
      </c>
      <c r="Q8">
        <f t="shared" ref="Q8:Q71" si="7">LN(P8)</f>
        <v>15.73910504730857</v>
      </c>
    </row>
    <row r="9" spans="1:17" x14ac:dyDescent="0.3">
      <c r="B9">
        <v>500</v>
      </c>
      <c r="C9">
        <v>0.19269736400000001</v>
      </c>
      <c r="E9">
        <f t="shared" si="0"/>
        <v>773.15</v>
      </c>
      <c r="F9">
        <f t="shared" si="1"/>
        <v>1.2934100756644895E-3</v>
      </c>
      <c r="G9">
        <f t="shared" si="2"/>
        <v>6.650473078921439</v>
      </c>
      <c r="H9">
        <f t="shared" si="3"/>
        <v>-1.6466343829496184</v>
      </c>
      <c r="J9">
        <f t="shared" si="4"/>
        <v>-1.6466829073602751</v>
      </c>
      <c r="K9">
        <f t="shared" si="5"/>
        <v>0.19268801370083752</v>
      </c>
      <c r="L9" s="2">
        <v>-5412.4020531510205</v>
      </c>
      <c r="O9">
        <v>320</v>
      </c>
      <c r="P9">
        <f t="shared" si="6"/>
        <v>3216173.3834958901</v>
      </c>
      <c r="Q9">
        <f t="shared" si="7"/>
        <v>14.983702820606325</v>
      </c>
    </row>
    <row r="10" spans="1:17" x14ac:dyDescent="0.3">
      <c r="B10">
        <v>600</v>
      </c>
      <c r="C10">
        <v>0.37004415299999999</v>
      </c>
      <c r="E10">
        <f t="shared" si="0"/>
        <v>873.15</v>
      </c>
      <c r="F10">
        <f t="shared" si="1"/>
        <v>1.1452785890167783E-3</v>
      </c>
      <c r="G10">
        <f t="shared" si="2"/>
        <v>6.7721073623858539</v>
      </c>
      <c r="H10">
        <f t="shared" si="3"/>
        <v>-0.99413294803098284</v>
      </c>
      <c r="J10">
        <f t="shared" si="4"/>
        <v>-0.99425807968244317</v>
      </c>
      <c r="K10">
        <f t="shared" si="5"/>
        <v>0.36999785166096377</v>
      </c>
      <c r="L10" s="2">
        <v>-1.250697579605881</v>
      </c>
      <c r="O10">
        <v>330</v>
      </c>
      <c r="P10">
        <f t="shared" si="6"/>
        <v>1547894.5294162109</v>
      </c>
      <c r="Q10">
        <f t="shared" si="7"/>
        <v>14.25240619735856</v>
      </c>
    </row>
    <row r="11" spans="1:17" x14ac:dyDescent="0.3">
      <c r="B11">
        <v>700</v>
      </c>
      <c r="C11">
        <v>0.61259332200000005</v>
      </c>
      <c r="E11">
        <f t="shared" si="0"/>
        <v>973.15</v>
      </c>
      <c r="F11">
        <f t="shared" si="1"/>
        <v>1.0275908133381287E-3</v>
      </c>
      <c r="G11">
        <f t="shared" si="2"/>
        <v>6.8805382326885844</v>
      </c>
      <c r="H11">
        <f t="shared" si="3"/>
        <v>-0.49005398572025438</v>
      </c>
      <c r="J11">
        <f t="shared" si="4"/>
        <v>-0.49009337887524218</v>
      </c>
      <c r="K11">
        <f t="shared" si="5"/>
        <v>0.61256919049163328</v>
      </c>
      <c r="L11" s="6"/>
      <c r="O11">
        <v>340</v>
      </c>
      <c r="P11">
        <f t="shared" si="6"/>
        <v>762277.2357247381</v>
      </c>
      <c r="Q11">
        <f t="shared" si="7"/>
        <v>13.544065594910421</v>
      </c>
    </row>
    <row r="12" spans="1:17" x14ac:dyDescent="0.3">
      <c r="B12">
        <v>800</v>
      </c>
      <c r="C12">
        <v>0.91260488200000001</v>
      </c>
      <c r="E12">
        <f t="shared" si="0"/>
        <v>1073.1500000000001</v>
      </c>
      <c r="F12">
        <f t="shared" si="1"/>
        <v>9.3183618319899353E-4</v>
      </c>
      <c r="G12">
        <f t="shared" si="2"/>
        <v>6.9783535278276743</v>
      </c>
      <c r="H12">
        <f t="shared" si="3"/>
        <v>-9.1452260952409506E-2</v>
      </c>
      <c r="J12">
        <f t="shared" si="4"/>
        <v>-9.1362805854878104E-2</v>
      </c>
      <c r="K12">
        <f t="shared" si="5"/>
        <v>0.91268652281026585</v>
      </c>
      <c r="L12" s="6"/>
      <c r="O12">
        <v>350</v>
      </c>
      <c r="P12">
        <f t="shared" si="6"/>
        <v>383695.39101327024</v>
      </c>
      <c r="Q12">
        <f t="shared" si="7"/>
        <v>12.857604264208952</v>
      </c>
    </row>
    <row r="13" spans="1:17" x14ac:dyDescent="0.3">
      <c r="B13">
        <v>900</v>
      </c>
      <c r="C13">
        <v>1.25835696</v>
      </c>
      <c r="E13">
        <f t="shared" si="0"/>
        <v>1173.1500000000001</v>
      </c>
      <c r="F13">
        <f t="shared" si="1"/>
        <v>8.5240591569705484E-4</v>
      </c>
      <c r="G13">
        <f t="shared" si="2"/>
        <v>7.06744771771573</v>
      </c>
      <c r="H13">
        <f t="shared" si="3"/>
        <v>0.22980687001554884</v>
      </c>
      <c r="J13">
        <f t="shared" si="4"/>
        <v>0.22992121854049863</v>
      </c>
      <c r="K13">
        <f t="shared" si="5"/>
        <v>1.2585008594894267</v>
      </c>
      <c r="L13" s="6"/>
      <c r="O13">
        <v>360</v>
      </c>
      <c r="P13">
        <f t="shared" si="6"/>
        <v>197207.66380858675</v>
      </c>
      <c r="Q13">
        <f t="shared" si="7"/>
        <v>12.192012583522228</v>
      </c>
    </row>
    <row r="14" spans="1:17" x14ac:dyDescent="0.3">
      <c r="B14">
        <v>1000</v>
      </c>
      <c r="C14">
        <v>1.6370337100000001</v>
      </c>
      <c r="E14">
        <f t="shared" si="0"/>
        <v>1273.1500000000001</v>
      </c>
      <c r="F14">
        <f t="shared" si="1"/>
        <v>7.8545340297686832E-4</v>
      </c>
      <c r="G14">
        <f t="shared" si="2"/>
        <v>7.1492494235089401</v>
      </c>
      <c r="H14">
        <f t="shared" si="3"/>
        <v>0.49288589072431699</v>
      </c>
      <c r="J14">
        <f t="shared" si="4"/>
        <v>0.49279130954314354</v>
      </c>
      <c r="K14">
        <f t="shared" si="5"/>
        <v>1.6368788847399809</v>
      </c>
      <c r="L14" s="6"/>
      <c r="O14">
        <v>370</v>
      </c>
      <c r="P14">
        <f t="shared" si="6"/>
        <v>103398.20505582282</v>
      </c>
      <c r="Q14">
        <f t="shared" si="7"/>
        <v>11.546342881677774</v>
      </c>
    </row>
    <row r="15" spans="1:17" x14ac:dyDescent="0.3">
      <c r="L15" s="6"/>
      <c r="O15">
        <v>380</v>
      </c>
      <c r="P15">
        <f t="shared" si="6"/>
        <v>55254.481780334689</v>
      </c>
      <c r="Q15">
        <f t="shared" si="7"/>
        <v>10.919704734286199</v>
      </c>
    </row>
    <row r="16" spans="1:17" x14ac:dyDescent="0.3">
      <c r="A16" t="s">
        <v>38</v>
      </c>
      <c r="B16" t="s">
        <v>3</v>
      </c>
      <c r="C16" t="s">
        <v>7</v>
      </c>
      <c r="E16" t="s">
        <v>4</v>
      </c>
      <c r="F16" t="s">
        <v>5</v>
      </c>
      <c r="G16" t="s">
        <v>6</v>
      </c>
      <c r="H16" t="s">
        <v>9</v>
      </c>
      <c r="J16" t="s">
        <v>37</v>
      </c>
      <c r="L16" s="6"/>
      <c r="O16">
        <v>390</v>
      </c>
      <c r="P16">
        <f t="shared" si="6"/>
        <v>30069.32064320664</v>
      </c>
      <c r="Q16">
        <f t="shared" si="7"/>
        <v>10.311260683216773</v>
      </c>
    </row>
    <row r="17" spans="1:17" x14ac:dyDescent="0.3">
      <c r="B17">
        <v>300</v>
      </c>
      <c r="C17">
        <v>361811.58899999998</v>
      </c>
      <c r="E17">
        <f t="shared" ref="E17:E24" si="8">B17+273.15</f>
        <v>573.15</v>
      </c>
      <c r="F17">
        <f>1/E17</f>
        <v>1.7447439588240427E-3</v>
      </c>
      <c r="G17">
        <f>LN(E17)</f>
        <v>6.3511474625610189</v>
      </c>
      <c r="H17">
        <f>LN(C17)</f>
        <v>12.798878882939455</v>
      </c>
      <c r="J17">
        <f>$L$17+$L$18*E17+$L$19*F17+$L$20*G17</f>
        <v>12.799113336395152</v>
      </c>
      <c r="L17" s="2">
        <v>29.729688754817019</v>
      </c>
      <c r="O17">
        <v>400</v>
      </c>
      <c r="P17">
        <f t="shared" si="6"/>
        <v>16650.94641416776</v>
      </c>
      <c r="Q17">
        <f t="shared" si="7"/>
        <v>9.7202223354849195</v>
      </c>
    </row>
    <row r="18" spans="1:17" x14ac:dyDescent="0.3">
      <c r="B18">
        <v>400</v>
      </c>
      <c r="C18">
        <v>1345.7034100000001</v>
      </c>
      <c r="E18">
        <f t="shared" si="8"/>
        <v>673.15</v>
      </c>
      <c r="F18">
        <f t="shared" ref="F18:F24" si="9">1/E18</f>
        <v>1.4855529971031717E-3</v>
      </c>
      <c r="G18">
        <f t="shared" ref="G18:G24" si="10">LN(E18)</f>
        <v>6.5119681874252437</v>
      </c>
      <c r="H18">
        <f t="shared" ref="H18:H24" si="11">LN(C18)</f>
        <v>7.2046721367414612</v>
      </c>
      <c r="J18">
        <f t="shared" ref="J18:J24" si="12">$L$17+$L$18*E18+$L$19*F18+$L$20*G18</f>
        <v>7.2040070500541944</v>
      </c>
      <c r="L18" s="2">
        <v>2.7030692463891129E-3</v>
      </c>
      <c r="O18">
        <v>410</v>
      </c>
      <c r="P18">
        <f t="shared" si="6"/>
        <v>9375.4214343912245</v>
      </c>
      <c r="Q18">
        <f t="shared" si="7"/>
        <v>9.1458468028299862</v>
      </c>
    </row>
    <row r="19" spans="1:17" x14ac:dyDescent="0.3">
      <c r="B19">
        <v>500</v>
      </c>
      <c r="C19">
        <v>19.602038</v>
      </c>
      <c r="E19">
        <f t="shared" si="8"/>
        <v>773.15</v>
      </c>
      <c r="F19">
        <f t="shared" si="9"/>
        <v>1.2934100756644895E-3</v>
      </c>
      <c r="G19">
        <f t="shared" si="10"/>
        <v>6.650473078921439</v>
      </c>
      <c r="H19">
        <f t="shared" si="11"/>
        <v>2.9756335404228054</v>
      </c>
      <c r="J19">
        <f t="shared" si="12"/>
        <v>2.9758021362447238</v>
      </c>
      <c r="L19" s="2">
        <v>17791.693329385605</v>
      </c>
      <c r="O19">
        <v>420</v>
      </c>
      <c r="P19">
        <f t="shared" si="6"/>
        <v>5363.8294452987066</v>
      </c>
      <c r="Q19">
        <f t="shared" si="7"/>
        <v>8.5874334477175935</v>
      </c>
    </row>
    <row r="20" spans="1:17" ht="17.25" thickBot="1" x14ac:dyDescent="0.35">
      <c r="B20">
        <v>600</v>
      </c>
      <c r="C20">
        <v>0.71293316500000004</v>
      </c>
      <c r="E20">
        <f t="shared" si="8"/>
        <v>873.15</v>
      </c>
      <c r="F20">
        <f t="shared" si="9"/>
        <v>1.1452785890167783E-3</v>
      </c>
      <c r="G20">
        <f t="shared" si="10"/>
        <v>6.7721073623858539</v>
      </c>
      <c r="H20">
        <f t="shared" si="11"/>
        <v>-0.33836760068940669</v>
      </c>
      <c r="J20">
        <f t="shared" si="12"/>
        <v>-0.33781966956671283</v>
      </c>
      <c r="L20" s="3">
        <v>-7.7972979375157374</v>
      </c>
      <c r="O20">
        <v>430</v>
      </c>
      <c r="P20">
        <f t="shared" si="6"/>
        <v>3116.0482933780368</v>
      </c>
      <c r="Q20">
        <f t="shared" si="7"/>
        <v>8.044320905387238</v>
      </c>
    </row>
    <row r="21" spans="1:17" x14ac:dyDescent="0.3">
      <c r="B21">
        <v>700</v>
      </c>
      <c r="C21">
        <v>4.9437124800000003E-2</v>
      </c>
      <c r="E21">
        <f t="shared" si="8"/>
        <v>973.15</v>
      </c>
      <c r="F21">
        <f t="shared" si="9"/>
        <v>1.0275908133381287E-3</v>
      </c>
      <c r="G21">
        <f t="shared" si="10"/>
        <v>6.8805382326885844</v>
      </c>
      <c r="H21">
        <f t="shared" si="11"/>
        <v>-3.0070536228635949</v>
      </c>
      <c r="J21">
        <f t="shared" si="12"/>
        <v>-3.0068453597943829</v>
      </c>
      <c r="O21">
        <v>440</v>
      </c>
      <c r="P21">
        <f t="shared" si="6"/>
        <v>1836.991310547565</v>
      </c>
      <c r="Q21">
        <f t="shared" si="7"/>
        <v>7.5158843549630916</v>
      </c>
    </row>
    <row r="22" spans="1:17" x14ac:dyDescent="0.3">
      <c r="B22">
        <v>800</v>
      </c>
      <c r="C22">
        <v>5.5028648299999998E-3</v>
      </c>
      <c r="E22">
        <f t="shared" si="8"/>
        <v>1073.1500000000001</v>
      </c>
      <c r="F22">
        <f t="shared" si="9"/>
        <v>9.3183618319899353E-4</v>
      </c>
      <c r="G22">
        <f t="shared" si="10"/>
        <v>6.9783535278276743</v>
      </c>
      <c r="H22">
        <f t="shared" si="11"/>
        <v>-5.2024864441718446</v>
      </c>
      <c r="J22">
        <f t="shared" si="12"/>
        <v>-5.2028704485052231</v>
      </c>
      <c r="O22">
        <v>450</v>
      </c>
      <c r="P22">
        <f t="shared" si="6"/>
        <v>1098.3156034694994</v>
      </c>
      <c r="Q22">
        <f t="shared" si="7"/>
        <v>7.001533015621817</v>
      </c>
    </row>
    <row r="23" spans="1:17" x14ac:dyDescent="0.3">
      <c r="B23">
        <v>900</v>
      </c>
      <c r="C23">
        <v>8.7620165900000003E-4</v>
      </c>
      <c r="E23">
        <f t="shared" si="8"/>
        <v>1173.1500000000001</v>
      </c>
      <c r="F23">
        <f t="shared" si="9"/>
        <v>8.5240591569705484E-4</v>
      </c>
      <c r="G23">
        <f t="shared" si="10"/>
        <v>7.06744771771573</v>
      </c>
      <c r="H23">
        <f t="shared" si="11"/>
        <v>-7.0399142891829358</v>
      </c>
      <c r="J23">
        <f t="shared" si="12"/>
        <v>-7.0404564273906374</v>
      </c>
      <c r="O23">
        <v>460</v>
      </c>
      <c r="P23">
        <f t="shared" si="6"/>
        <v>665.61261784205851</v>
      </c>
      <c r="Q23">
        <f t="shared" si="7"/>
        <v>6.5007078464217543</v>
      </c>
    </row>
    <row r="24" spans="1:17" x14ac:dyDescent="0.3">
      <c r="B24">
        <v>1000</v>
      </c>
      <c r="C24">
        <v>1.8417717900000001E-4</v>
      </c>
      <c r="E24">
        <f t="shared" si="8"/>
        <v>1273.1500000000001</v>
      </c>
      <c r="F24">
        <f t="shared" si="9"/>
        <v>7.8545340297686832E-4</v>
      </c>
      <c r="G24">
        <f t="shared" si="10"/>
        <v>7.1492494235089401</v>
      </c>
      <c r="H24">
        <f t="shared" si="11"/>
        <v>-8.5996123343265225</v>
      </c>
      <c r="J24">
        <f t="shared" si="12"/>
        <v>-8.5991803485677423</v>
      </c>
      <c r="O24">
        <v>470</v>
      </c>
      <c r="P24">
        <f t="shared" si="6"/>
        <v>408.6583311229839</v>
      </c>
      <c r="Q24">
        <f t="shared" si="7"/>
        <v>6.0128794306942126</v>
      </c>
    </row>
    <row r="25" spans="1:17" x14ac:dyDescent="0.3">
      <c r="O25">
        <v>480</v>
      </c>
      <c r="P25">
        <f t="shared" si="6"/>
        <v>254.05379296414884</v>
      </c>
      <c r="Q25">
        <f t="shared" si="7"/>
        <v>5.5375460279190349</v>
      </c>
    </row>
    <row r="26" spans="1:17" x14ac:dyDescent="0.3">
      <c r="A26" t="s">
        <v>2</v>
      </c>
      <c r="B26" t="s">
        <v>3</v>
      </c>
      <c r="C26" t="s">
        <v>7</v>
      </c>
      <c r="E26" t="s">
        <v>4</v>
      </c>
      <c r="F26" t="s">
        <v>5</v>
      </c>
      <c r="G26" t="s">
        <v>6</v>
      </c>
      <c r="H26" t="s">
        <v>9</v>
      </c>
      <c r="J26" t="s">
        <v>37</v>
      </c>
      <c r="O26">
        <v>490</v>
      </c>
      <c r="P26">
        <f t="shared" si="6"/>
        <v>159.84934498170026</v>
      </c>
      <c r="Q26">
        <f t="shared" si="7"/>
        <v>5.074231777791482</v>
      </c>
    </row>
    <row r="27" spans="1:17" x14ac:dyDescent="0.3">
      <c r="B27">
        <v>300</v>
      </c>
      <c r="C27" s="1">
        <v>1.6209951E-9</v>
      </c>
      <c r="E27">
        <f t="shared" ref="E27:E34" si="13">B27+273.15</f>
        <v>573.15</v>
      </c>
      <c r="F27">
        <f>1/E27</f>
        <v>1.7447439588240427E-3</v>
      </c>
      <c r="G27">
        <f>LN(E27)</f>
        <v>6.3511474625610189</v>
      </c>
      <c r="H27">
        <f>LN(C27)</f>
        <v>-20.240225617022858</v>
      </c>
      <c r="J27">
        <f>$L$27+$L$28*E27+$L$29*F27+$L$30*G27</f>
        <v>-20.240569852810687</v>
      </c>
      <c r="L27" s="2">
        <v>-2.4300631206040038</v>
      </c>
      <c r="O27">
        <v>500</v>
      </c>
      <c r="P27">
        <f t="shared" si="6"/>
        <v>101.74656278444617</v>
      </c>
      <c r="Q27">
        <f t="shared" si="7"/>
        <v>4.62248504276387</v>
      </c>
    </row>
    <row r="28" spans="1:17" x14ac:dyDescent="0.3">
      <c r="B28">
        <v>400</v>
      </c>
      <c r="C28" s="1">
        <v>4.8456936899999998E-6</v>
      </c>
      <c r="E28">
        <f t="shared" si="13"/>
        <v>673.15</v>
      </c>
      <c r="F28">
        <f t="shared" ref="F28:F34" si="14">1/E28</f>
        <v>1.4855529971031717E-3</v>
      </c>
      <c r="G28">
        <f t="shared" ref="G28:G34" si="15">LN(E28)</f>
        <v>6.5119681874252437</v>
      </c>
      <c r="H28">
        <f t="shared" ref="H28:H34" si="16">LN(C28)</f>
        <v>-12.23742014639973</v>
      </c>
      <c r="J28">
        <f t="shared" ref="J28:J34" si="17">$L$27+$L$28*E28+$L$29*F28+$L$30*G28</f>
        <v>-12.236437624028248</v>
      </c>
      <c r="L28" s="2">
        <v>-2.6469619537680053E-3</v>
      </c>
      <c r="O28">
        <v>510</v>
      </c>
      <c r="P28">
        <f t="shared" si="6"/>
        <v>65.488652066751754</v>
      </c>
      <c r="Q28">
        <f t="shared" si="7"/>
        <v>4.1818768767422512</v>
      </c>
    </row>
    <row r="29" spans="1:17" x14ac:dyDescent="0.3">
      <c r="B29">
        <v>500</v>
      </c>
      <c r="C29">
        <v>1.8943068099999999E-3</v>
      </c>
      <c r="E29">
        <f t="shared" si="13"/>
        <v>773.15</v>
      </c>
      <c r="F29">
        <f t="shared" si="14"/>
        <v>1.2934100756644895E-3</v>
      </c>
      <c r="G29">
        <f t="shared" si="15"/>
        <v>6.650473078921439</v>
      </c>
      <c r="H29">
        <f t="shared" si="16"/>
        <v>-6.2689023068409906</v>
      </c>
      <c r="J29">
        <f t="shared" si="17"/>
        <v>-6.2691679514732925</v>
      </c>
      <c r="L29" s="2">
        <v>-28616.497378653145</v>
      </c>
      <c r="O29">
        <v>520</v>
      </c>
      <c r="P29">
        <f t="shared" si="6"/>
        <v>42.606192597811528</v>
      </c>
      <c r="Q29">
        <f t="shared" si="7"/>
        <v>3.7519996088565009</v>
      </c>
    </row>
    <row r="30" spans="1:17" ht="17.25" thickBot="1" x14ac:dyDescent="0.35">
      <c r="B30">
        <v>600</v>
      </c>
      <c r="C30">
        <v>0.19206944200000001</v>
      </c>
      <c r="E30">
        <f t="shared" si="13"/>
        <v>873.15</v>
      </c>
      <c r="F30">
        <f t="shared" si="14"/>
        <v>1.1452785890167783E-3</v>
      </c>
      <c r="G30">
        <f t="shared" si="15"/>
        <v>6.7721073623858539</v>
      </c>
      <c r="H30">
        <f t="shared" si="16"/>
        <v>-1.6498982952604124</v>
      </c>
      <c r="J30">
        <f t="shared" si="17"/>
        <v>-1.650696489697836</v>
      </c>
      <c r="L30" s="3">
        <v>5.2959029268298039</v>
      </c>
      <c r="O30">
        <v>530</v>
      </c>
      <c r="P30">
        <f t="shared" si="6"/>
        <v>28.007309574046079</v>
      </c>
      <c r="Q30">
        <f t="shared" si="7"/>
        <v>3.3324655323218906</v>
      </c>
    </row>
    <row r="31" spans="1:17" x14ac:dyDescent="0.3">
      <c r="B31">
        <v>700</v>
      </c>
      <c r="C31">
        <v>7.5908657699999997</v>
      </c>
      <c r="E31">
        <f t="shared" si="13"/>
        <v>973.15</v>
      </c>
      <c r="F31">
        <f t="shared" si="14"/>
        <v>1.0275908133381287E-3</v>
      </c>
      <c r="G31">
        <f t="shared" si="15"/>
        <v>6.8805382326885844</v>
      </c>
      <c r="H31">
        <f t="shared" si="16"/>
        <v>2.0269456520960469</v>
      </c>
      <c r="J31">
        <f t="shared" si="17"/>
        <v>2.0266586025278954</v>
      </c>
      <c r="O31">
        <v>540</v>
      </c>
      <c r="P31">
        <f t="shared" si="6"/>
        <v>18.595241030180269</v>
      </c>
      <c r="Q31">
        <f t="shared" si="7"/>
        <v>2.9229056893893031</v>
      </c>
    </row>
    <row r="32" spans="1:17" x14ac:dyDescent="0.3">
      <c r="B32">
        <v>800</v>
      </c>
      <c r="C32">
        <v>151.348015</v>
      </c>
      <c r="E32">
        <f t="shared" si="13"/>
        <v>1073.1500000000001</v>
      </c>
      <c r="F32">
        <f t="shared" si="14"/>
        <v>9.3183618319899353E-4</v>
      </c>
      <c r="G32">
        <f t="shared" si="15"/>
        <v>6.9783535278276743</v>
      </c>
      <c r="H32">
        <f t="shared" si="16"/>
        <v>5.0195819200860488</v>
      </c>
      <c r="J32">
        <f t="shared" si="17"/>
        <v>5.02014483733738</v>
      </c>
      <c r="O32">
        <v>550</v>
      </c>
      <c r="P32">
        <f t="shared" si="6"/>
        <v>12.465548812086613</v>
      </c>
      <c r="Q32">
        <f t="shared" si="7"/>
        <v>2.5229687442523243</v>
      </c>
    </row>
    <row r="33" spans="1:17" x14ac:dyDescent="0.3">
      <c r="B33">
        <v>900</v>
      </c>
      <c r="C33">
        <v>1807.1892800000001</v>
      </c>
      <c r="E33">
        <f t="shared" si="13"/>
        <v>1173.1500000000001</v>
      </c>
      <c r="F33">
        <f t="shared" si="14"/>
        <v>8.5240591569705484E-4</v>
      </c>
      <c r="G33">
        <f t="shared" si="15"/>
        <v>7.06744771771573</v>
      </c>
      <c r="H33">
        <f t="shared" si="16"/>
        <v>7.4995280333079579</v>
      </c>
      <c r="J33">
        <f t="shared" si="17"/>
        <v>7.5002988647072115</v>
      </c>
      <c r="O33">
        <v>560</v>
      </c>
      <c r="P33">
        <f t="shared" si="6"/>
        <v>8.4344114309591696</v>
      </c>
      <c r="Q33">
        <f t="shared" si="7"/>
        <v>2.1323199365579697</v>
      </c>
    </row>
    <row r="34" spans="1:17" x14ac:dyDescent="0.3">
      <c r="B34">
        <v>1000</v>
      </c>
      <c r="C34">
        <v>14550.5506</v>
      </c>
      <c r="E34">
        <f t="shared" si="13"/>
        <v>1273.1500000000001</v>
      </c>
      <c r="F34">
        <f t="shared" si="14"/>
        <v>7.8545340297686832E-4</v>
      </c>
      <c r="G34">
        <f t="shared" si="15"/>
        <v>7.1492494235089401</v>
      </c>
      <c r="H34">
        <f t="shared" si="16"/>
        <v>9.5853841138080504</v>
      </c>
      <c r="J34">
        <f t="shared" si="17"/>
        <v>9.5847629672118018</v>
      </c>
      <c r="O34">
        <v>570</v>
      </c>
      <c r="P34">
        <f t="shared" si="6"/>
        <v>5.7582874273748041</v>
      </c>
      <c r="Q34">
        <f t="shared" si="7"/>
        <v>1.7506401088626404</v>
      </c>
    </row>
    <row r="35" spans="1:17" x14ac:dyDescent="0.3">
      <c r="O35">
        <v>580</v>
      </c>
      <c r="P35">
        <f t="shared" si="6"/>
        <v>3.9654716525487874</v>
      </c>
      <c r="Q35">
        <f t="shared" si="7"/>
        <v>1.3776248019969088</v>
      </c>
    </row>
    <row r="36" spans="1:17" x14ac:dyDescent="0.3">
      <c r="A36" t="s">
        <v>42</v>
      </c>
      <c r="B36" t="s">
        <v>3</v>
      </c>
      <c r="C36" t="s">
        <v>7</v>
      </c>
      <c r="E36" t="s">
        <v>4</v>
      </c>
      <c r="F36" t="s">
        <v>5</v>
      </c>
      <c r="G36" t="s">
        <v>6</v>
      </c>
      <c r="H36" t="s">
        <v>9</v>
      </c>
      <c r="J36" t="s">
        <v>37</v>
      </c>
      <c r="O36">
        <v>590</v>
      </c>
      <c r="P36">
        <f t="shared" si="6"/>
        <v>2.7538045075115205</v>
      </c>
      <c r="Q36">
        <f t="shared" si="7"/>
        <v>1.0129834128600876</v>
      </c>
    </row>
    <row r="37" spans="1:17" x14ac:dyDescent="0.3">
      <c r="B37">
        <v>300</v>
      </c>
      <c r="C37" s="1">
        <v>14939992.699999999</v>
      </c>
      <c r="E37">
        <f t="shared" ref="E37:E44" si="18">B37+273.15</f>
        <v>573.15</v>
      </c>
      <c r="F37">
        <f>1/E37</f>
        <v>1.7447439588240427E-3</v>
      </c>
      <c r="G37">
        <f>LN(E37)</f>
        <v>6.3511474625610189</v>
      </c>
      <c r="H37">
        <f>LN(C37)</f>
        <v>16.519552249047674</v>
      </c>
      <c r="J37">
        <f>$L$37+$L$38*E37+$L$39*F37+$L$40*G37</f>
        <v>16.51984159392142</v>
      </c>
      <c r="L37" s="2">
        <v>16.079873995955673</v>
      </c>
      <c r="O37">
        <v>600</v>
      </c>
      <c r="P37">
        <f t="shared" si="6"/>
        <v>1.9279136535179378</v>
      </c>
      <c r="Q37">
        <f t="shared" si="7"/>
        <v>0.65643840966571076</v>
      </c>
    </row>
    <row r="38" spans="1:17" x14ac:dyDescent="0.3">
      <c r="B38">
        <v>400</v>
      </c>
      <c r="C38" s="1">
        <v>16664.6692</v>
      </c>
      <c r="E38">
        <f t="shared" si="18"/>
        <v>673.15</v>
      </c>
      <c r="F38">
        <f t="shared" ref="F38:F44" si="19">1/E38</f>
        <v>1.4855529971031717E-3</v>
      </c>
      <c r="G38">
        <f t="shared" ref="G38:G44" si="20">LN(E38)</f>
        <v>6.5119681874252437</v>
      </c>
      <c r="H38">
        <f t="shared" ref="H38:H44" si="21">LN(C38)</f>
        <v>9.7210461405598281</v>
      </c>
      <c r="J38">
        <f t="shared" ref="J38:J44" si="22">$L$37+$L$38*E38+$L$39*F38+$L$40*G38</f>
        <v>9.7202223354849195</v>
      </c>
      <c r="L38" s="2">
        <v>2.6750154272986602E-3</v>
      </c>
      <c r="O38">
        <v>610</v>
      </c>
      <c r="P38">
        <f t="shared" si="6"/>
        <v>1.3603263036284163</v>
      </c>
      <c r="Q38">
        <f t="shared" si="7"/>
        <v>0.30772460010810937</v>
      </c>
    </row>
    <row r="39" spans="1:17" x14ac:dyDescent="0.3">
      <c r="B39">
        <v>500</v>
      </c>
      <c r="C39">
        <v>101.724474</v>
      </c>
      <c r="E39">
        <f t="shared" si="18"/>
        <v>773.15</v>
      </c>
      <c r="F39">
        <f t="shared" si="19"/>
        <v>1.2934100756644895E-3</v>
      </c>
      <c r="G39">
        <f t="shared" si="20"/>
        <v>6.650473078921439</v>
      </c>
      <c r="H39">
        <f t="shared" si="21"/>
        <v>4.6222679230707477</v>
      </c>
      <c r="J39">
        <f t="shared" si="22"/>
        <v>4.62248504276387</v>
      </c>
      <c r="L39" s="2">
        <v>23204.095470231423</v>
      </c>
      <c r="O39">
        <v>620</v>
      </c>
      <c r="P39">
        <f t="shared" si="6"/>
        <v>0.96714044940082033</v>
      </c>
      <c r="Q39">
        <f t="shared" si="7"/>
        <v>-3.341155167547788E-2</v>
      </c>
    </row>
    <row r="40" spans="1:17" ht="17.25" thickBot="1" x14ac:dyDescent="0.35">
      <c r="B40">
        <v>600</v>
      </c>
      <c r="C40">
        <v>1.9266164800000001</v>
      </c>
      <c r="E40">
        <f t="shared" si="18"/>
        <v>873.15</v>
      </c>
      <c r="F40">
        <f t="shared" si="19"/>
        <v>1.1452785890167783E-3</v>
      </c>
      <c r="G40">
        <f t="shared" si="20"/>
        <v>6.7721073623858539</v>
      </c>
      <c r="H40">
        <f t="shared" si="21"/>
        <v>0.65576534523400332</v>
      </c>
      <c r="J40">
        <f t="shared" si="22"/>
        <v>0.65643840966570366</v>
      </c>
      <c r="L40" s="3">
        <v>-6.5466001428798704</v>
      </c>
      <c r="O40">
        <v>630</v>
      </c>
      <c r="P40">
        <f t="shared" si="6"/>
        <v>0.69266239492294535</v>
      </c>
      <c r="Q40">
        <f t="shared" si="7"/>
        <v>-0.36721256310882211</v>
      </c>
    </row>
    <row r="41" spans="1:17" x14ac:dyDescent="0.3">
      <c r="B41">
        <v>700</v>
      </c>
      <c r="C41">
        <v>8.0701377300000002E-2</v>
      </c>
      <c r="E41">
        <f t="shared" si="18"/>
        <v>973.15</v>
      </c>
      <c r="F41">
        <f t="shared" si="19"/>
        <v>1.0275908133381287E-3</v>
      </c>
      <c r="G41">
        <f t="shared" si="20"/>
        <v>6.8805382326885844</v>
      </c>
      <c r="H41">
        <f t="shared" si="21"/>
        <v>-2.5169996369373737</v>
      </c>
      <c r="J41">
        <f t="shared" si="22"/>
        <v>-2.5167519811474364</v>
      </c>
      <c r="O41">
        <v>640</v>
      </c>
      <c r="P41">
        <f t="shared" si="6"/>
        <v>0.49961847112822616</v>
      </c>
      <c r="Q41">
        <f t="shared" si="7"/>
        <v>-0.69391052958023636</v>
      </c>
    </row>
    <row r="42" spans="1:17" x14ac:dyDescent="0.3">
      <c r="B42">
        <v>800</v>
      </c>
      <c r="C42">
        <v>6.0298437399999997E-3</v>
      </c>
      <c r="E42">
        <f t="shared" si="18"/>
        <v>1073.1500000000001</v>
      </c>
      <c r="F42">
        <f t="shared" si="19"/>
        <v>9.3183618319899353E-4</v>
      </c>
      <c r="G42">
        <f t="shared" si="20"/>
        <v>6.9783535278276743</v>
      </c>
      <c r="H42">
        <f t="shared" si="21"/>
        <v>-5.111034182343321</v>
      </c>
      <c r="J42">
        <f t="shared" si="22"/>
        <v>-5.1115076430161679</v>
      </c>
      <c r="O42">
        <v>650</v>
      </c>
      <c r="P42">
        <f t="shared" si="6"/>
        <v>0.36286381428011499</v>
      </c>
      <c r="Q42">
        <f t="shared" si="7"/>
        <v>-1.0137276823825445</v>
      </c>
    </row>
    <row r="43" spans="1:17" x14ac:dyDescent="0.3">
      <c r="B43">
        <v>900</v>
      </c>
      <c r="C43">
        <v>6.9630612399999999E-4</v>
      </c>
      <c r="E43">
        <f t="shared" si="18"/>
        <v>1173.1500000000001</v>
      </c>
      <c r="F43">
        <f t="shared" si="19"/>
        <v>8.5240591569705484E-4</v>
      </c>
      <c r="G43">
        <f t="shared" si="20"/>
        <v>7.06744771771573</v>
      </c>
      <c r="H43">
        <f t="shared" si="21"/>
        <v>-7.2697211609948482</v>
      </c>
      <c r="J43">
        <f t="shared" si="22"/>
        <v>-7.2703776468782166</v>
      </c>
      <c r="O43">
        <v>660</v>
      </c>
      <c r="P43">
        <f t="shared" si="6"/>
        <v>0.26530453846740654</v>
      </c>
      <c r="Q43">
        <f t="shared" si="7"/>
        <v>-1.3268769110589957</v>
      </c>
    </row>
    <row r="44" spans="1:17" x14ac:dyDescent="0.3">
      <c r="B44">
        <v>1000</v>
      </c>
      <c r="C44">
        <v>1.1250665E-4</v>
      </c>
      <c r="E44">
        <f t="shared" si="18"/>
        <v>1273.1500000000001</v>
      </c>
      <c r="F44">
        <f t="shared" si="19"/>
        <v>7.8545340297686832E-4</v>
      </c>
      <c r="G44">
        <f t="shared" si="20"/>
        <v>7.1492494235089401</v>
      </c>
      <c r="H44">
        <f t="shared" si="21"/>
        <v>-9.0924982269556818</v>
      </c>
      <c r="J44">
        <f t="shared" si="22"/>
        <v>-9.0919716601130887</v>
      </c>
      <c r="O44">
        <v>670</v>
      </c>
      <c r="P44">
        <f t="shared" si="6"/>
        <v>0.1952328651199674</v>
      </c>
      <c r="Q44">
        <f t="shared" si="7"/>
        <v>-1.6335622527818998</v>
      </c>
    </row>
    <row r="45" spans="1:17" x14ac:dyDescent="0.3">
      <c r="O45">
        <v>680</v>
      </c>
      <c r="P45">
        <f t="shared" si="6"/>
        <v>0.14457175053506527</v>
      </c>
      <c r="Q45">
        <f t="shared" si="7"/>
        <v>-1.9339793511713168</v>
      </c>
    </row>
    <row r="46" spans="1:17" x14ac:dyDescent="0.3">
      <c r="O46">
        <v>690</v>
      </c>
      <c r="P46">
        <f t="shared" si="6"/>
        <v>0.1077096727621397</v>
      </c>
      <c r="Q46">
        <f t="shared" si="7"/>
        <v>-2.2283158867622248</v>
      </c>
    </row>
    <row r="47" spans="1:17" x14ac:dyDescent="0.3">
      <c r="O47">
        <v>700</v>
      </c>
      <c r="P47">
        <f t="shared" si="6"/>
        <v>8.072136593839313E-2</v>
      </c>
      <c r="Q47">
        <f t="shared" si="7"/>
        <v>-2.5167519811474364</v>
      </c>
    </row>
    <row r="48" spans="1:17" x14ac:dyDescent="0.3">
      <c r="O48">
        <v>710</v>
      </c>
      <c r="P48">
        <f t="shared" si="6"/>
        <v>6.0842873841089426E-2</v>
      </c>
      <c r="Q48">
        <f t="shared" si="7"/>
        <v>-2.7994605766597971</v>
      </c>
    </row>
    <row r="49" spans="15:17" x14ac:dyDescent="0.3">
      <c r="O49">
        <v>720</v>
      </c>
      <c r="P49">
        <f t="shared" si="6"/>
        <v>4.6115424674400517E-2</v>
      </c>
      <c r="Q49">
        <f t="shared" si="7"/>
        <v>-3.0766077933072467</v>
      </c>
    </row>
    <row r="50" spans="15:17" x14ac:dyDescent="0.3">
      <c r="O50">
        <v>730</v>
      </c>
      <c r="P50">
        <f t="shared" si="6"/>
        <v>3.5142176346785743E-2</v>
      </c>
      <c r="Q50">
        <f t="shared" si="7"/>
        <v>-3.348353264538666</v>
      </c>
    </row>
    <row r="51" spans="15:17" x14ac:dyDescent="0.3">
      <c r="O51">
        <v>740</v>
      </c>
      <c r="P51">
        <f t="shared" si="6"/>
        <v>2.6920950855726766E-2</v>
      </c>
      <c r="Q51">
        <f t="shared" si="7"/>
        <v>-3.6148504532942312</v>
      </c>
    </row>
    <row r="52" spans="15:17" x14ac:dyDescent="0.3">
      <c r="O52">
        <v>750</v>
      </c>
      <c r="P52">
        <f t="shared" si="6"/>
        <v>2.0728474387296504E-2</v>
      </c>
      <c r="Q52">
        <f t="shared" si="7"/>
        <v>-3.8762469496808336</v>
      </c>
    </row>
    <row r="53" spans="15:17" x14ac:dyDescent="0.3">
      <c r="O53">
        <v>760</v>
      </c>
      <c r="P53">
        <f t="shared" si="6"/>
        <v>1.603975819936607E-2</v>
      </c>
      <c r="Q53">
        <f t="shared" si="7"/>
        <v>-4.1326847515098848</v>
      </c>
    </row>
    <row r="54" spans="15:17" x14ac:dyDescent="0.3">
      <c r="O54">
        <v>770</v>
      </c>
      <c r="P54">
        <f t="shared" si="6"/>
        <v>1.2471608614656075E-2</v>
      </c>
      <c r="Q54">
        <f t="shared" si="7"/>
        <v>-4.384300528840285</v>
      </c>
    </row>
    <row r="55" spans="15:17" x14ac:dyDescent="0.3">
      <c r="O55">
        <v>780</v>
      </c>
      <c r="P55">
        <f t="shared" si="6"/>
        <v>9.7428083274157511E-3</v>
      </c>
      <c r="Q55">
        <f t="shared" si="7"/>
        <v>-4.6312258735831335</v>
      </c>
    </row>
    <row r="56" spans="15:17" x14ac:dyDescent="0.3">
      <c r="O56">
        <v>790</v>
      </c>
      <c r="P56">
        <f t="shared" si="6"/>
        <v>7.645886140918632E-3</v>
      </c>
      <c r="Q56">
        <f t="shared" si="7"/>
        <v>-4.8735875351451554</v>
      </c>
    </row>
    <row r="57" spans="15:17" x14ac:dyDescent="0.3">
      <c r="O57">
        <v>800</v>
      </c>
      <c r="P57">
        <f t="shared" si="6"/>
        <v>6.0269895218590377E-3</v>
      </c>
      <c r="Q57">
        <f t="shared" si="7"/>
        <v>-5.1115076430161679</v>
      </c>
    </row>
    <row r="58" spans="15:17" x14ac:dyDescent="0.3">
      <c r="O58">
        <v>810</v>
      </c>
      <c r="P58">
        <f t="shared" si="6"/>
        <v>4.7714553435911815E-3</v>
      </c>
      <c r="Q58">
        <f t="shared" si="7"/>
        <v>-5.3451039171382533</v>
      </c>
    </row>
    <row r="59" spans="15:17" x14ac:dyDescent="0.3">
      <c r="O59">
        <v>820</v>
      </c>
      <c r="P59">
        <f t="shared" si="6"/>
        <v>3.7934102330120312E-3</v>
      </c>
      <c r="Q59">
        <f t="shared" si="7"/>
        <v>-5.5744898668345115</v>
      </c>
    </row>
    <row r="60" spans="15:17" x14ac:dyDescent="0.3">
      <c r="O60">
        <v>830</v>
      </c>
      <c r="P60">
        <f t="shared" si="6"/>
        <v>3.028236085372173E-3</v>
      </c>
      <c r="Q60">
        <f t="shared" si="7"/>
        <v>-5.7997749790181743</v>
      </c>
    </row>
    <row r="61" spans="15:17" x14ac:dyDescent="0.3">
      <c r="O61">
        <v>840</v>
      </c>
      <c r="P61">
        <f t="shared" si="6"/>
        <v>2.4270836258760281E-3</v>
      </c>
      <c r="Q61">
        <f t="shared" si="7"/>
        <v>-6.0210648963516675</v>
      </c>
    </row>
    <row r="62" spans="15:17" x14ac:dyDescent="0.3">
      <c r="O62">
        <v>850</v>
      </c>
      <c r="P62">
        <f t="shared" si="6"/>
        <v>1.9528575164847086E-3</v>
      </c>
      <c r="Q62">
        <f t="shared" si="7"/>
        <v>-6.2384615859780581</v>
      </c>
    </row>
    <row r="63" spans="15:17" x14ac:dyDescent="0.3">
      <c r="O63">
        <v>860</v>
      </c>
      <c r="P63">
        <f t="shared" si="6"/>
        <v>1.5772641248264201E-3</v>
      </c>
      <c r="Q63">
        <f t="shared" si="7"/>
        <v>-6.452063499403053</v>
      </c>
    </row>
    <row r="64" spans="15:17" x14ac:dyDescent="0.3">
      <c r="O64">
        <v>870</v>
      </c>
      <c r="P64">
        <f t="shared" si="6"/>
        <v>1.2786304637314155E-3</v>
      </c>
      <c r="Q64">
        <f t="shared" si="7"/>
        <v>-6.6619657240657872</v>
      </c>
    </row>
    <row r="65" spans="15:17" x14ac:dyDescent="0.3">
      <c r="O65">
        <v>880</v>
      </c>
      <c r="P65">
        <f t="shared" si="6"/>
        <v>1.0402854554467866E-3</v>
      </c>
      <c r="Q65">
        <f t="shared" si="7"/>
        <v>-6.8682601270994681</v>
      </c>
    </row>
    <row r="66" spans="15:17" x14ac:dyDescent="0.3">
      <c r="O66">
        <v>890</v>
      </c>
      <c r="P66">
        <f t="shared" si="6"/>
        <v>8.4935315546875794E-4</v>
      </c>
      <c r="Q66">
        <f t="shared" si="7"/>
        <v>-7.0710354917486669</v>
      </c>
    </row>
    <row r="67" spans="15:17" x14ac:dyDescent="0.3">
      <c r="O67">
        <v>900</v>
      </c>
      <c r="P67">
        <f t="shared" si="6"/>
        <v>6.9584915887108112E-4</v>
      </c>
      <c r="Q67">
        <f t="shared" si="7"/>
        <v>-7.2703776468782166</v>
      </c>
    </row>
    <row r="68" spans="15:17" x14ac:dyDescent="0.3">
      <c r="O68">
        <v>910</v>
      </c>
      <c r="P68">
        <f t="shared" si="6"/>
        <v>5.7200113061910683E-4</v>
      </c>
      <c r="Q68">
        <f t="shared" si="7"/>
        <v>-7.4663695899795997</v>
      </c>
    </row>
    <row r="69" spans="15:17" x14ac:dyDescent="0.3">
      <c r="O69">
        <v>920</v>
      </c>
      <c r="P69">
        <f t="shared" si="6"/>
        <v>4.7173573905359624E-4</v>
      </c>
      <c r="Q69">
        <f t="shared" si="7"/>
        <v>-7.6590916040536356</v>
      </c>
    </row>
    <row r="70" spans="15:17" x14ac:dyDescent="0.3">
      <c r="O70">
        <v>930</v>
      </c>
      <c r="P70">
        <f t="shared" si="6"/>
        <v>3.9028966306269057E-4</v>
      </c>
      <c r="Q70">
        <f t="shared" si="7"/>
        <v>-7.8486213687231228</v>
      </c>
    </row>
    <row r="71" spans="15:17" x14ac:dyDescent="0.3">
      <c r="O71">
        <v>940</v>
      </c>
      <c r="P71">
        <f t="shared" si="6"/>
        <v>3.2391349586002188E-4</v>
      </c>
      <c r="Q71">
        <f t="shared" si="7"/>
        <v>-8.0350340659059611</v>
      </c>
    </row>
    <row r="72" spans="15:17" x14ac:dyDescent="0.3">
      <c r="O72">
        <v>950</v>
      </c>
      <c r="P72">
        <f t="shared" ref="P72:P77" si="23">EXP($L$37+(O72+273.15)*$L$38+$L$39/(O72+273.15)+$L$40*LN(O72+273.15))</f>
        <v>2.6964548497056067E-4</v>
      </c>
      <c r="Q72">
        <f t="shared" ref="Q72:Q77" si="24">LN(P72)</f>
        <v>-8.2184024803577103</v>
      </c>
    </row>
    <row r="73" spans="15:17" x14ac:dyDescent="0.3">
      <c r="O73">
        <v>960</v>
      </c>
      <c r="P73">
        <f t="shared" si="23"/>
        <v>2.2513798087805812E-4</v>
      </c>
      <c r="Q73">
        <f t="shared" si="24"/>
        <v>-8.3987970953728563</v>
      </c>
    </row>
    <row r="74" spans="15:17" x14ac:dyDescent="0.3">
      <c r="O74">
        <v>970</v>
      </c>
      <c r="P74">
        <f t="shared" si="23"/>
        <v>1.8852382171497824E-4</v>
      </c>
      <c r="Q74">
        <f t="shared" si="24"/>
        <v>-8.5762861839151014</v>
      </c>
    </row>
    <row r="75" spans="15:17" x14ac:dyDescent="0.3">
      <c r="O75">
        <v>980</v>
      </c>
      <c r="P75">
        <f t="shared" si="23"/>
        <v>1.5831309126221991E-4</v>
      </c>
      <c r="Q75">
        <f t="shared" si="24"/>
        <v>-8.7509358954302314</v>
      </c>
    </row>
    <row r="76" spans="15:17" x14ac:dyDescent="0.3">
      <c r="O76">
        <v>990</v>
      </c>
      <c r="P76">
        <f t="shared" si="23"/>
        <v>1.3331306300035412E-4</v>
      </c>
      <c r="Q76">
        <f t="shared" si="24"/>
        <v>-8.9228103385790973</v>
      </c>
    </row>
    <row r="77" spans="15:17" x14ac:dyDescent="0.3">
      <c r="O77">
        <v>1000</v>
      </c>
      <c r="P77">
        <f t="shared" si="23"/>
        <v>1.1256590787170714E-4</v>
      </c>
      <c r="Q77">
        <f t="shared" si="24"/>
        <v>-9.0919716601130887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82EE1-417C-481D-88F2-87A480302216}">
  <sheetPr codeName="Sheet1"/>
  <dimension ref="A2:CX20"/>
  <sheetViews>
    <sheetView zoomScale="85" zoomScaleNormal="85" workbookViewId="0">
      <selection activeCell="H22" sqref="H22"/>
    </sheetView>
  </sheetViews>
  <sheetFormatPr defaultRowHeight="16.5" x14ac:dyDescent="0.3"/>
  <sheetData>
    <row r="2" spans="1:102" x14ac:dyDescent="0.3">
      <c r="A2" s="8" t="s">
        <v>0</v>
      </c>
      <c r="E2" t="s">
        <v>1</v>
      </c>
      <c r="I2" t="s">
        <v>2</v>
      </c>
      <c r="N2" t="s">
        <v>40</v>
      </c>
      <c r="O2">
        <v>400</v>
      </c>
      <c r="P2" t="s">
        <v>41</v>
      </c>
      <c r="Q2">
        <v>3</v>
      </c>
      <c r="R2" t="s">
        <v>39</v>
      </c>
      <c r="S2">
        <v>6.4243499999999995E-2</v>
      </c>
    </row>
    <row r="4" spans="1:102" x14ac:dyDescent="0.3">
      <c r="A4" t="s">
        <v>40</v>
      </c>
      <c r="B4" t="s">
        <v>41</v>
      </c>
      <c r="C4" s="1" t="s">
        <v>39</v>
      </c>
      <c r="D4" s="1"/>
      <c r="E4" t="s">
        <v>40</v>
      </c>
      <c r="F4" t="s">
        <v>41</v>
      </c>
      <c r="G4" s="1" t="s">
        <v>39</v>
      </c>
      <c r="H4" s="1"/>
      <c r="I4" t="s">
        <v>40</v>
      </c>
      <c r="J4" t="s">
        <v>41</v>
      </c>
      <c r="K4" s="1" t="s">
        <v>39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</row>
    <row r="5" spans="1:102" x14ac:dyDescent="0.3">
      <c r="A5">
        <v>300</v>
      </c>
      <c r="B5">
        <v>3</v>
      </c>
      <c r="C5" s="7">
        <v>0.76554</v>
      </c>
      <c r="E5">
        <v>300</v>
      </c>
      <c r="F5">
        <v>3</v>
      </c>
      <c r="G5" s="7">
        <v>0.60938099999999995</v>
      </c>
      <c r="I5">
        <v>300</v>
      </c>
      <c r="J5">
        <v>3</v>
      </c>
      <c r="K5" s="7">
        <v>0.42322500000000002</v>
      </c>
    </row>
    <row r="6" spans="1:102" x14ac:dyDescent="0.3">
      <c r="A6">
        <v>500</v>
      </c>
      <c r="B6">
        <v>3</v>
      </c>
      <c r="C6" s="7">
        <v>6.5885799999999994E-2</v>
      </c>
      <c r="E6">
        <v>500</v>
      </c>
      <c r="F6">
        <v>3</v>
      </c>
      <c r="G6" s="7">
        <v>5.4639699999999999E-2</v>
      </c>
      <c r="I6">
        <v>500</v>
      </c>
      <c r="J6">
        <v>3</v>
      </c>
      <c r="K6" s="7">
        <v>0.33957999999999999</v>
      </c>
    </row>
    <row r="7" spans="1:102" x14ac:dyDescent="0.3">
      <c r="A7">
        <v>700</v>
      </c>
      <c r="B7">
        <v>3</v>
      </c>
      <c r="C7" s="7">
        <v>1.8797299999999999E-2</v>
      </c>
      <c r="E7">
        <v>700</v>
      </c>
      <c r="F7">
        <v>3</v>
      </c>
      <c r="G7" s="7">
        <v>1.6696099999999998E-2</v>
      </c>
      <c r="I7">
        <v>700</v>
      </c>
      <c r="J7">
        <v>3</v>
      </c>
      <c r="K7" s="7">
        <v>0.29610500000000001</v>
      </c>
      <c r="CX7" s="1"/>
    </row>
    <row r="8" spans="1:102" x14ac:dyDescent="0.3">
      <c r="A8">
        <v>900</v>
      </c>
      <c r="B8">
        <v>3</v>
      </c>
      <c r="C8" s="7">
        <v>9.1335400000000008E-3</v>
      </c>
      <c r="E8">
        <v>900</v>
      </c>
      <c r="F8">
        <v>3</v>
      </c>
      <c r="G8" s="7">
        <v>7.2373899999999998E-3</v>
      </c>
      <c r="I8">
        <v>900</v>
      </c>
      <c r="J8">
        <v>3</v>
      </c>
      <c r="K8" s="7">
        <v>0.26239000000000001</v>
      </c>
      <c r="CX8" s="1"/>
    </row>
    <row r="9" spans="1:102" x14ac:dyDescent="0.3">
      <c r="A9">
        <v>300</v>
      </c>
      <c r="B9">
        <v>2.5</v>
      </c>
      <c r="C9" s="7">
        <v>0.84341299999999997</v>
      </c>
      <c r="D9" s="1"/>
      <c r="E9">
        <v>300</v>
      </c>
      <c r="F9">
        <v>2.5</v>
      </c>
      <c r="G9" s="7">
        <v>0.67633699999999997</v>
      </c>
      <c r="H9" s="1"/>
      <c r="I9">
        <v>300</v>
      </c>
      <c r="J9">
        <v>2.5</v>
      </c>
      <c r="K9" s="7">
        <v>0.55063099999999998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</row>
    <row r="10" spans="1:102" x14ac:dyDescent="0.3">
      <c r="A10">
        <v>500</v>
      </c>
      <c r="B10">
        <v>2.5</v>
      </c>
      <c r="C10" s="7">
        <v>7.9967300000000005E-2</v>
      </c>
      <c r="E10">
        <v>500</v>
      </c>
      <c r="F10">
        <v>2.5</v>
      </c>
      <c r="G10" s="7">
        <v>6.6027299999999997E-2</v>
      </c>
      <c r="I10">
        <v>500</v>
      </c>
      <c r="J10">
        <v>2.5</v>
      </c>
      <c r="K10" s="7">
        <v>0.43729099999999999</v>
      </c>
    </row>
    <row r="11" spans="1:102" x14ac:dyDescent="0.3">
      <c r="A11">
        <v>700</v>
      </c>
      <c r="B11">
        <v>2.5</v>
      </c>
      <c r="C11" s="7">
        <v>2.2434099999999998E-2</v>
      </c>
      <c r="E11">
        <v>700</v>
      </c>
      <c r="F11">
        <v>2.5</v>
      </c>
      <c r="G11" s="7">
        <v>1.9868400000000001E-2</v>
      </c>
      <c r="I11">
        <v>700</v>
      </c>
      <c r="J11">
        <v>2.5</v>
      </c>
      <c r="K11" s="7">
        <v>0.37995600000000002</v>
      </c>
    </row>
    <row r="12" spans="1:102" x14ac:dyDescent="0.3">
      <c r="A12">
        <v>900</v>
      </c>
      <c r="B12">
        <v>2.5</v>
      </c>
      <c r="C12" s="7">
        <v>1.0513E-2</v>
      </c>
      <c r="E12">
        <v>900</v>
      </c>
      <c r="F12">
        <v>2.5</v>
      </c>
      <c r="G12" s="7">
        <v>8.1195099999999999E-3</v>
      </c>
      <c r="I12">
        <v>900</v>
      </c>
      <c r="J12">
        <v>2.5</v>
      </c>
      <c r="K12" s="7">
        <v>0.33398800000000001</v>
      </c>
    </row>
    <row r="13" spans="1:102" x14ac:dyDescent="0.3">
      <c r="A13">
        <v>300</v>
      </c>
      <c r="B13">
        <v>2</v>
      </c>
      <c r="C13" s="7">
        <v>0.90793500000000005</v>
      </c>
      <c r="E13">
        <v>300</v>
      </c>
      <c r="F13">
        <v>2</v>
      </c>
      <c r="G13" s="7">
        <v>0.75219199999999997</v>
      </c>
      <c r="I13">
        <v>300</v>
      </c>
      <c r="J13">
        <v>2</v>
      </c>
      <c r="K13" s="7">
        <v>0.73920699999999995</v>
      </c>
    </row>
    <row r="14" spans="1:102" x14ac:dyDescent="0.3">
      <c r="A14">
        <v>500</v>
      </c>
      <c r="B14">
        <v>2</v>
      </c>
      <c r="C14" s="7">
        <v>0.101838</v>
      </c>
      <c r="E14">
        <v>500</v>
      </c>
      <c r="F14">
        <v>2</v>
      </c>
      <c r="G14" s="7">
        <v>8.3548600000000001E-2</v>
      </c>
      <c r="I14">
        <v>500</v>
      </c>
      <c r="J14">
        <v>2</v>
      </c>
      <c r="K14" s="7">
        <v>0.60484499999999997</v>
      </c>
    </row>
    <row r="15" spans="1:102" x14ac:dyDescent="0.3">
      <c r="A15">
        <v>700</v>
      </c>
      <c r="B15">
        <v>2</v>
      </c>
      <c r="C15" s="7">
        <v>2.7978099999999999E-2</v>
      </c>
      <c r="E15">
        <v>700</v>
      </c>
      <c r="F15">
        <v>2</v>
      </c>
      <c r="G15" s="7">
        <v>2.4695499999999999E-2</v>
      </c>
      <c r="I15">
        <v>700</v>
      </c>
      <c r="J15">
        <v>2</v>
      </c>
      <c r="K15" s="7">
        <v>0.52163400000000004</v>
      </c>
    </row>
    <row r="16" spans="1:102" x14ac:dyDescent="0.3">
      <c r="A16">
        <v>900</v>
      </c>
      <c r="B16">
        <v>2</v>
      </c>
      <c r="C16" s="7">
        <v>1.26935E-2</v>
      </c>
      <c r="E16">
        <v>900</v>
      </c>
      <c r="F16">
        <v>2</v>
      </c>
      <c r="G16" s="7">
        <v>9.6066399999999996E-3</v>
      </c>
      <c r="I16">
        <v>900</v>
      </c>
      <c r="J16">
        <v>2</v>
      </c>
      <c r="K16" s="7">
        <v>0.43929600000000002</v>
      </c>
    </row>
    <row r="17" spans="1:11" x14ac:dyDescent="0.3">
      <c r="A17">
        <v>300</v>
      </c>
      <c r="B17">
        <v>1.5</v>
      </c>
      <c r="C17" s="7">
        <v>0.95404500000000003</v>
      </c>
      <c r="E17">
        <v>300</v>
      </c>
      <c r="F17">
        <v>1.5</v>
      </c>
      <c r="G17" s="7">
        <v>0.83418499999999995</v>
      </c>
      <c r="I17">
        <v>300</v>
      </c>
      <c r="J17">
        <v>1.5</v>
      </c>
      <c r="K17" s="7">
        <v>0.92430500000000004</v>
      </c>
    </row>
    <row r="18" spans="1:11" x14ac:dyDescent="0.3">
      <c r="A18">
        <v>500</v>
      </c>
      <c r="B18">
        <v>1.5</v>
      </c>
      <c r="C18" s="7">
        <v>0.14069999999999999</v>
      </c>
      <c r="E18">
        <v>500</v>
      </c>
      <c r="F18">
        <v>1.5</v>
      </c>
      <c r="G18" s="7">
        <v>0.114033</v>
      </c>
      <c r="I18">
        <v>500</v>
      </c>
      <c r="J18">
        <v>1.5</v>
      </c>
      <c r="K18" s="7">
        <v>0.84956299999999996</v>
      </c>
    </row>
    <row r="19" spans="1:11" x14ac:dyDescent="0.3">
      <c r="A19">
        <v>700</v>
      </c>
      <c r="B19">
        <v>1.5</v>
      </c>
      <c r="C19" s="7">
        <v>3.7398300000000002E-2</v>
      </c>
      <c r="E19">
        <v>700</v>
      </c>
      <c r="F19">
        <v>1.5</v>
      </c>
      <c r="G19" s="7">
        <v>3.2874899999999999E-2</v>
      </c>
      <c r="I19">
        <v>700</v>
      </c>
      <c r="J19">
        <v>1.5</v>
      </c>
      <c r="K19" s="7">
        <v>0.73765000000000003</v>
      </c>
    </row>
    <row r="20" spans="1:11" x14ac:dyDescent="0.3">
      <c r="A20">
        <v>900</v>
      </c>
      <c r="B20">
        <v>1.5</v>
      </c>
      <c r="C20" s="7">
        <v>1.64932E-2</v>
      </c>
      <c r="E20">
        <v>900</v>
      </c>
      <c r="F20">
        <v>1.5</v>
      </c>
      <c r="G20" s="7">
        <v>1.23482E-2</v>
      </c>
      <c r="I20">
        <v>900</v>
      </c>
      <c r="J20">
        <v>1.5</v>
      </c>
      <c r="K20" s="7">
        <v>0.58176399999999995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Sheet4</vt:lpstr>
      <vt:lpstr>Sheet2</vt:lpstr>
      <vt:lpstr>Sheet1</vt:lpstr>
      <vt:lpstr>RWGS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SJBAEK</dc:creator>
  <cp:lastModifiedBy>SJBAEK</cp:lastModifiedBy>
  <dcterms:created xsi:type="dcterms:W3CDTF">2025-08-22T08:09:08Z</dcterms:created>
  <dcterms:modified xsi:type="dcterms:W3CDTF">2025-11-12T08:51:40Z</dcterms:modified>
</cp:coreProperties>
</file>